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antecgroup-my.sharepoint.com/personal/lsantander_santecpro_com/Documents/Automatizaciones/01 Sistema de Presupuestos/01_DATOS_MAESTROS/"/>
    </mc:Choice>
  </mc:AlternateContent>
  <xr:revisionPtr revIDLastSave="25" documentId="11_D5134D29A064EA669229B4E32B2AF94852F03F95" xr6:coauthVersionLast="47" xr6:coauthVersionMax="47" xr10:uidLastSave="{6998B0BD-B93D-42EA-8754-5081ABDF08D8}"/>
  <bookViews>
    <workbookView xWindow="-108" yWindow="-108" windowWidth="23256" windowHeight="13896" xr2:uid="{00000000-000D-0000-FFFF-FFFF00000000}"/>
  </bookViews>
  <sheets>
    <sheet name="BD_Recursos" sheetId="1" r:id="rId1"/>
    <sheet name="Hoja1" sheetId="2" r:id="rId2"/>
    <sheet name="Hoja2" sheetId="3" r:id="rId3"/>
    <sheet name="Aux_M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4" l="1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P17" i="4"/>
  <c r="P20" i="4" s="1"/>
  <c r="P25" i="4" s="1"/>
  <c r="O17" i="4"/>
  <c r="O20" i="4" s="1"/>
  <c r="O25" i="4" s="1"/>
  <c r="N17" i="4"/>
  <c r="N20" i="4" s="1"/>
  <c r="N25" i="4" s="1"/>
  <c r="M17" i="4"/>
  <c r="M20" i="4" s="1"/>
  <c r="M25" i="4" s="1"/>
  <c r="L17" i="4"/>
  <c r="K17" i="4"/>
  <c r="K20" i="4" s="1"/>
  <c r="K25" i="4" s="1"/>
  <c r="J17" i="4"/>
  <c r="J20" i="4" s="1"/>
  <c r="J25" i="4" s="1"/>
  <c r="I17" i="4"/>
  <c r="H17" i="4"/>
  <c r="H20" i="4" s="1"/>
  <c r="G17" i="4"/>
  <c r="G20" i="4" s="1"/>
  <c r="G25" i="4" s="1"/>
  <c r="F17" i="4"/>
  <c r="F20" i="4" s="1"/>
  <c r="F25" i="4" s="1"/>
  <c r="E17" i="4"/>
  <c r="E20" i="4" s="1"/>
  <c r="E25" i="4" s="1"/>
  <c r="D17" i="4"/>
  <c r="D20" i="4" s="1"/>
  <c r="D25" i="4" s="1"/>
  <c r="C17" i="4"/>
  <c r="C20" i="4" s="1"/>
  <c r="C25" i="4" s="1"/>
  <c r="B17" i="4"/>
  <c r="B20" i="4" s="1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H4" i="4"/>
  <c r="K4" i="4" s="1"/>
  <c r="K2" i="4"/>
  <c r="P425" i="1" a="1"/>
  <c r="P425" i="1" s="1"/>
  <c r="O425" i="1"/>
  <c r="A425" i="1"/>
  <c r="P424" i="1" a="1"/>
  <c r="P424" i="1" s="1"/>
  <c r="O424" i="1"/>
  <c r="A424" i="1"/>
  <c r="P409" i="1"/>
  <c r="P403" i="1"/>
  <c r="P402" i="1"/>
  <c r="P401" i="1"/>
  <c r="P400" i="1"/>
  <c r="P399" i="1"/>
  <c r="P398" i="1"/>
  <c r="P397" i="1"/>
  <c r="P396" i="1"/>
  <c r="P395" i="1"/>
  <c r="P391" i="1"/>
  <c r="P390" i="1"/>
  <c r="P389" i="1"/>
  <c r="P388" i="1"/>
  <c r="P387" i="1"/>
  <c r="P386" i="1"/>
  <c r="P385" i="1"/>
  <c r="P384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 a="1"/>
  <c r="P263" i="1" s="1"/>
  <c r="P262" i="1" a="1"/>
  <c r="P262" i="1" s="1"/>
  <c r="P261" i="1" a="1"/>
  <c r="P261" i="1" s="1"/>
  <c r="P260" i="1" a="1"/>
  <c r="P260" i="1" s="1"/>
  <c r="P259" i="1" a="1"/>
  <c r="P259" i="1" s="1"/>
  <c r="P258" i="1" a="1"/>
  <c r="P258" i="1" s="1"/>
  <c r="P257" i="1" a="1"/>
  <c r="P257" i="1" s="1"/>
  <c r="P256" i="1" a="1"/>
  <c r="P256" i="1" s="1"/>
  <c r="P255" i="1" a="1"/>
  <c r="P255" i="1" s="1"/>
  <c r="P254" i="1" a="1"/>
  <c r="P254" i="1" s="1"/>
  <c r="P253" i="1" a="1"/>
  <c r="P253" i="1" s="1"/>
  <c r="P252" i="1" a="1"/>
  <c r="P252" i="1" s="1"/>
  <c r="P251" i="1" a="1"/>
  <c r="P251" i="1" s="1"/>
  <c r="P250" i="1" a="1"/>
  <c r="P250" i="1" s="1"/>
  <c r="P249" i="1" a="1"/>
  <c r="P249" i="1" s="1"/>
  <c r="P248" i="1" a="1"/>
  <c r="P248" i="1" s="1"/>
  <c r="P247" i="1" a="1"/>
  <c r="P247" i="1" s="1"/>
  <c r="P246" i="1" a="1"/>
  <c r="P246" i="1" s="1"/>
  <c r="P245" i="1" a="1"/>
  <c r="P245" i="1" s="1"/>
  <c r="P244" i="1" a="1"/>
  <c r="P244" i="1" s="1"/>
  <c r="P243" i="1" a="1"/>
  <c r="P243" i="1" s="1"/>
  <c r="P242" i="1" a="1"/>
  <c r="P242" i="1" s="1"/>
  <c r="P241" i="1" a="1"/>
  <c r="P241" i="1" s="1"/>
  <c r="P240" i="1" a="1"/>
  <c r="P240" i="1" s="1"/>
  <c r="P239" i="1" a="1"/>
  <c r="P239" i="1" s="1"/>
  <c r="P232" i="1" a="1"/>
  <c r="P232" i="1" s="1"/>
  <c r="P231" i="1" a="1"/>
  <c r="P231" i="1" s="1"/>
  <c r="P230" i="1" a="1"/>
  <c r="P230" i="1" s="1"/>
  <c r="P229" i="1" a="1"/>
  <c r="P229" i="1" s="1"/>
  <c r="P228" i="1" a="1"/>
  <c r="P228" i="1" s="1"/>
  <c r="P227" i="1" a="1"/>
  <c r="P227" i="1" s="1"/>
  <c r="P226" i="1" a="1"/>
  <c r="P226" i="1" s="1"/>
  <c r="P225" i="1" a="1"/>
  <c r="P225" i="1" s="1"/>
  <c r="P224" i="1" a="1"/>
  <c r="P224" i="1" s="1"/>
  <c r="P223" i="1" a="1"/>
  <c r="P223" i="1" s="1"/>
  <c r="P222" i="1" a="1"/>
  <c r="P222" i="1" s="1"/>
  <c r="P221" i="1" a="1"/>
  <c r="P221" i="1" s="1"/>
  <c r="P220" i="1" a="1"/>
  <c r="P220" i="1" s="1"/>
  <c r="P219" i="1" a="1"/>
  <c r="P219" i="1" s="1"/>
  <c r="P218" i="1" a="1"/>
  <c r="P218" i="1" s="1"/>
  <c r="P217" i="1" a="1"/>
  <c r="P217" i="1" s="1"/>
  <c r="P216" i="1" a="1"/>
  <c r="P216" i="1" s="1"/>
  <c r="P215" i="1" a="1"/>
  <c r="P215" i="1" s="1"/>
  <c r="P214" i="1" a="1"/>
  <c r="P214" i="1" s="1"/>
  <c r="P213" i="1" a="1"/>
  <c r="P213" i="1" s="1"/>
  <c r="P212" i="1" a="1"/>
  <c r="P212" i="1" s="1"/>
  <c r="P211" i="1" a="1"/>
  <c r="P211" i="1" s="1"/>
  <c r="P210" i="1" a="1"/>
  <c r="P210" i="1" s="1"/>
  <c r="P209" i="1" a="1"/>
  <c r="P209" i="1" s="1"/>
  <c r="P208" i="1" a="1"/>
  <c r="P208" i="1" s="1"/>
  <c r="P207" i="1" a="1"/>
  <c r="P207" i="1" s="1"/>
  <c r="P206" i="1" a="1"/>
  <c r="P206" i="1" s="1"/>
  <c r="P205" i="1" a="1"/>
  <c r="P205" i="1" s="1"/>
  <c r="P204" i="1" a="1"/>
  <c r="P204" i="1" s="1"/>
  <c r="P203" i="1" a="1"/>
  <c r="P203" i="1" s="1"/>
  <c r="P202" i="1" a="1"/>
  <c r="P202" i="1" s="1"/>
  <c r="P201" i="1" a="1"/>
  <c r="P201" i="1" s="1"/>
  <c r="P200" i="1" a="1"/>
  <c r="P200" i="1" s="1"/>
  <c r="P199" i="1" a="1"/>
  <c r="P199" i="1" s="1"/>
  <c r="P198" i="1" a="1"/>
  <c r="P198" i="1" s="1"/>
  <c r="P197" i="1" a="1"/>
  <c r="P197" i="1" s="1"/>
  <c r="P196" i="1" a="1"/>
  <c r="P196" i="1" s="1"/>
  <c r="P195" i="1" a="1"/>
  <c r="P195" i="1" s="1"/>
  <c r="P194" i="1" a="1"/>
  <c r="P194" i="1" s="1"/>
  <c r="P193" i="1" a="1"/>
  <c r="P193" i="1" s="1"/>
  <c r="P192" i="1" a="1"/>
  <c r="P192" i="1" s="1"/>
  <c r="P191" i="1" a="1"/>
  <c r="P191" i="1" s="1"/>
  <c r="P190" i="1" a="1"/>
  <c r="P190" i="1" s="1"/>
  <c r="P189" i="1" a="1"/>
  <c r="P189" i="1" s="1"/>
  <c r="P188" i="1" a="1"/>
  <c r="P188" i="1" s="1"/>
  <c r="P187" i="1" a="1"/>
  <c r="P187" i="1" s="1"/>
  <c r="P186" i="1" a="1"/>
  <c r="P186" i="1" s="1"/>
  <c r="P185" i="1" a="1"/>
  <c r="P185" i="1" s="1"/>
  <c r="P184" i="1" a="1"/>
  <c r="P184" i="1" s="1"/>
  <c r="P183" i="1" a="1"/>
  <c r="P183" i="1" s="1"/>
  <c r="P182" i="1" a="1"/>
  <c r="P182" i="1" s="1"/>
  <c r="P181" i="1" a="1"/>
  <c r="P181" i="1" s="1"/>
  <c r="P180" i="1" a="1"/>
  <c r="P180" i="1" s="1"/>
  <c r="P179" i="1" a="1"/>
  <c r="P179" i="1" s="1"/>
  <c r="P178" i="1" a="1"/>
  <c r="P178" i="1" s="1"/>
  <c r="P177" i="1" a="1"/>
  <c r="P177" i="1" s="1"/>
  <c r="P156" i="1" a="1"/>
  <c r="P156" i="1" s="1"/>
  <c r="P155" i="1" a="1"/>
  <c r="P155" i="1" s="1"/>
  <c r="P154" i="1" a="1"/>
  <c r="P154" i="1" s="1"/>
  <c r="P153" i="1" a="1"/>
  <c r="P153" i="1" s="1"/>
  <c r="P152" i="1" a="1"/>
  <c r="P152" i="1" s="1"/>
  <c r="P151" i="1" a="1"/>
  <c r="P151" i="1" s="1"/>
  <c r="P150" i="1" a="1"/>
  <c r="P150" i="1" s="1"/>
  <c r="P149" i="1" a="1"/>
  <c r="P149" i="1" s="1"/>
  <c r="P148" i="1" a="1"/>
  <c r="P148" i="1" s="1"/>
  <c r="P147" i="1" a="1"/>
  <c r="P147" i="1" s="1"/>
  <c r="P146" i="1" a="1"/>
  <c r="P146" i="1" s="1"/>
  <c r="P145" i="1" a="1"/>
  <c r="P145" i="1" s="1"/>
  <c r="P144" i="1" a="1"/>
  <c r="P144" i="1" s="1"/>
  <c r="P143" i="1" a="1"/>
  <c r="P143" i="1" s="1"/>
  <c r="P142" i="1" a="1"/>
  <c r="P142" i="1" s="1"/>
  <c r="P141" i="1" a="1"/>
  <c r="P141" i="1" s="1"/>
  <c r="P140" i="1" a="1"/>
  <c r="P140" i="1" s="1"/>
  <c r="P139" i="1" a="1"/>
  <c r="P139" i="1" s="1"/>
  <c r="P138" i="1" a="1"/>
  <c r="P138" i="1" s="1"/>
  <c r="P137" i="1" a="1"/>
  <c r="P137" i="1" s="1"/>
  <c r="P136" i="1" a="1"/>
  <c r="P136" i="1" s="1"/>
  <c r="P135" i="1" a="1"/>
  <c r="P135" i="1" s="1"/>
  <c r="P134" i="1" a="1"/>
  <c r="P134" i="1" s="1"/>
  <c r="P133" i="1" a="1"/>
  <c r="P133" i="1" s="1"/>
  <c r="P132" i="1" a="1"/>
  <c r="P132" i="1" s="1"/>
  <c r="P131" i="1" a="1"/>
  <c r="P131" i="1" s="1"/>
  <c r="P130" i="1" a="1"/>
  <c r="P130" i="1" s="1"/>
  <c r="P129" i="1" a="1"/>
  <c r="P129" i="1" s="1"/>
  <c r="P128" i="1" a="1"/>
  <c r="P128" i="1" s="1"/>
  <c r="P127" i="1" a="1"/>
  <c r="P127" i="1" s="1"/>
  <c r="P126" i="1" a="1"/>
  <c r="P126" i="1" s="1"/>
  <c r="P125" i="1" a="1"/>
  <c r="P125" i="1" s="1"/>
  <c r="P124" i="1" a="1"/>
  <c r="P124" i="1" s="1"/>
  <c r="P123" i="1" a="1"/>
  <c r="P123" i="1" s="1"/>
  <c r="P122" i="1" a="1"/>
  <c r="P122" i="1" s="1"/>
  <c r="P121" i="1" a="1"/>
  <c r="P121" i="1" s="1"/>
  <c r="P120" i="1" a="1"/>
  <c r="P120" i="1" s="1"/>
  <c r="P119" i="1" a="1"/>
  <c r="P119" i="1" s="1"/>
  <c r="P118" i="1" a="1"/>
  <c r="P118" i="1" s="1"/>
  <c r="P117" i="1" a="1"/>
  <c r="P117" i="1" s="1"/>
  <c r="P116" i="1" a="1"/>
  <c r="P116" i="1" s="1"/>
  <c r="P115" i="1" a="1"/>
  <c r="P115" i="1" s="1"/>
  <c r="P114" i="1" a="1"/>
  <c r="P114" i="1" s="1"/>
  <c r="P113" i="1" a="1"/>
  <c r="P113" i="1" s="1"/>
  <c r="P112" i="1" a="1"/>
  <c r="P112" i="1" s="1"/>
  <c r="P111" i="1" a="1"/>
  <c r="P111" i="1" s="1"/>
  <c r="P110" i="1" a="1"/>
  <c r="P110" i="1" s="1"/>
  <c r="P109" i="1" a="1"/>
  <c r="P109" i="1" s="1"/>
  <c r="P108" i="1" a="1"/>
  <c r="P108" i="1" s="1"/>
  <c r="P107" i="1" a="1"/>
  <c r="P107" i="1" s="1"/>
  <c r="P106" i="1" a="1"/>
  <c r="P106" i="1" s="1"/>
  <c r="P105" i="1" a="1"/>
  <c r="P105" i="1" s="1"/>
  <c r="P104" i="1" a="1"/>
  <c r="P104" i="1" s="1"/>
  <c r="P103" i="1" a="1"/>
  <c r="P103" i="1" s="1"/>
  <c r="P102" i="1" a="1"/>
  <c r="P102" i="1" s="1"/>
  <c r="P101" i="1" a="1"/>
  <c r="P101" i="1" s="1"/>
  <c r="P100" i="1" a="1"/>
  <c r="P100" i="1" s="1"/>
  <c r="P99" i="1" a="1"/>
  <c r="P99" i="1" s="1"/>
  <c r="P98" i="1" a="1"/>
  <c r="P98" i="1" s="1"/>
  <c r="P97" i="1" a="1"/>
  <c r="P97" i="1" s="1"/>
  <c r="P96" i="1" a="1"/>
  <c r="P96" i="1" s="1"/>
  <c r="P95" i="1" a="1"/>
  <c r="P95" i="1" s="1"/>
  <c r="P94" i="1" a="1"/>
  <c r="P94" i="1" s="1"/>
  <c r="P93" i="1" a="1"/>
  <c r="P93" i="1" s="1"/>
  <c r="P92" i="1" a="1"/>
  <c r="P92" i="1" s="1"/>
  <c r="P91" i="1" a="1"/>
  <c r="P91" i="1" s="1"/>
  <c r="P90" i="1" a="1"/>
  <c r="P90" i="1" s="1"/>
  <c r="P89" i="1" a="1"/>
  <c r="P89" i="1" s="1"/>
  <c r="P88" i="1" a="1"/>
  <c r="P88" i="1" s="1"/>
  <c r="P87" i="1" a="1"/>
  <c r="P87" i="1" s="1"/>
  <c r="P86" i="1" a="1"/>
  <c r="P86" i="1" s="1"/>
  <c r="P85" i="1" a="1"/>
  <c r="P85" i="1" s="1"/>
  <c r="P84" i="1" a="1"/>
  <c r="P84" i="1" s="1"/>
  <c r="P83" i="1" a="1"/>
  <c r="P83" i="1" s="1"/>
  <c r="P82" i="1" a="1"/>
  <c r="P82" i="1" s="1"/>
  <c r="P81" i="1" a="1"/>
  <c r="P81" i="1" s="1"/>
  <c r="P80" i="1" a="1"/>
  <c r="P80" i="1" s="1"/>
  <c r="P79" i="1" a="1"/>
  <c r="P79" i="1" s="1"/>
  <c r="P78" i="1" a="1"/>
  <c r="P78" i="1" s="1"/>
  <c r="P77" i="1" a="1"/>
  <c r="P77" i="1" s="1"/>
  <c r="P76" i="1" a="1"/>
  <c r="P76" i="1" s="1"/>
  <c r="P75" i="1" a="1"/>
  <c r="P75" i="1" s="1"/>
  <c r="P74" i="1" a="1"/>
  <c r="P74" i="1" s="1"/>
  <c r="P73" i="1" a="1"/>
  <c r="P73" i="1" s="1"/>
  <c r="P72" i="1" a="1"/>
  <c r="P72" i="1" s="1"/>
  <c r="P71" i="1" a="1"/>
  <c r="P71" i="1" s="1"/>
  <c r="P70" i="1" a="1"/>
  <c r="P70" i="1" s="1"/>
  <c r="P69" i="1" a="1"/>
  <c r="P69" i="1" s="1"/>
  <c r="P68" i="1" a="1"/>
  <c r="P68" i="1" s="1"/>
  <c r="P67" i="1" a="1"/>
  <c r="P67" i="1" s="1"/>
  <c r="P66" i="1" a="1"/>
  <c r="P66" i="1" s="1"/>
  <c r="P65" i="1" a="1"/>
  <c r="P65" i="1" s="1"/>
  <c r="P64" i="1" a="1"/>
  <c r="P64" i="1" s="1"/>
  <c r="P63" i="1" a="1"/>
  <c r="P63" i="1" s="1"/>
  <c r="P62" i="1" a="1"/>
  <c r="P62" i="1" s="1"/>
  <c r="P61" i="1" a="1"/>
  <c r="P61" i="1" s="1"/>
  <c r="P60" i="1" a="1"/>
  <c r="P60" i="1" s="1"/>
  <c r="P59" i="1" a="1"/>
  <c r="P59" i="1" s="1"/>
  <c r="P58" i="1" a="1"/>
  <c r="P58" i="1" s="1"/>
  <c r="P57" i="1" a="1"/>
  <c r="P57" i="1" s="1"/>
  <c r="P56" i="1" a="1"/>
  <c r="P56" i="1" s="1"/>
  <c r="P55" i="1" a="1"/>
  <c r="P55" i="1" s="1"/>
  <c r="P54" i="1" a="1"/>
  <c r="P54" i="1" s="1"/>
  <c r="P53" i="1" a="1"/>
  <c r="P53" i="1" s="1"/>
  <c r="P52" i="1" a="1"/>
  <c r="P52" i="1" s="1"/>
  <c r="P51" i="1" a="1"/>
  <c r="P51" i="1" s="1"/>
  <c r="P50" i="1" a="1"/>
  <c r="P50" i="1" s="1"/>
  <c r="P49" i="1" a="1"/>
  <c r="P49" i="1" s="1"/>
  <c r="P48" i="1" a="1"/>
  <c r="P48" i="1" s="1"/>
  <c r="P47" i="1" a="1"/>
  <c r="P47" i="1" s="1"/>
  <c r="P46" i="1" a="1"/>
  <c r="P46" i="1" s="1"/>
  <c r="P45" i="1" a="1"/>
  <c r="P45" i="1" s="1"/>
  <c r="P44" i="1" a="1"/>
  <c r="P44" i="1" s="1"/>
  <c r="P43" i="1" a="1"/>
  <c r="P43" i="1" s="1"/>
  <c r="P42" i="1" a="1"/>
  <c r="P42" i="1" s="1"/>
  <c r="P41" i="1" a="1"/>
  <c r="P41" i="1" s="1"/>
  <c r="P40" i="1" a="1"/>
  <c r="P40" i="1" s="1"/>
  <c r="P39" i="1" a="1"/>
  <c r="P39" i="1" s="1"/>
  <c r="P38" i="1" a="1"/>
  <c r="P38" i="1" s="1"/>
  <c r="P37" i="1" a="1"/>
  <c r="P37" i="1" s="1"/>
  <c r="P36" i="1" a="1"/>
  <c r="P36" i="1" s="1"/>
  <c r="P35" i="1" a="1"/>
  <c r="P35" i="1" s="1"/>
  <c r="P34" i="1" a="1"/>
  <c r="P34" i="1" s="1"/>
  <c r="P33" i="1" a="1"/>
  <c r="P33" i="1" s="1"/>
  <c r="P32" i="1" a="1"/>
  <c r="P32" i="1" s="1"/>
  <c r="P31" i="1" a="1"/>
  <c r="P31" i="1" s="1"/>
  <c r="P30" i="1" a="1"/>
  <c r="P30" i="1" s="1"/>
  <c r="P29" i="1" a="1"/>
  <c r="P29" i="1" s="1"/>
  <c r="P28" i="1" a="1"/>
  <c r="P28" i="1" s="1"/>
  <c r="P27" i="1" a="1"/>
  <c r="P27" i="1" s="1"/>
  <c r="P26" i="1" a="1"/>
  <c r="P26" i="1" s="1"/>
  <c r="P25" i="1" a="1"/>
  <c r="P25" i="1" s="1"/>
  <c r="P24" i="1" a="1"/>
  <c r="P24" i="1" s="1"/>
  <c r="P23" i="1" a="1"/>
  <c r="P23" i="1" s="1"/>
  <c r="P22" i="1" a="1"/>
  <c r="P22" i="1" s="1"/>
  <c r="P21" i="1" a="1"/>
  <c r="P21" i="1" s="1"/>
  <c r="P20" i="1" a="1"/>
  <c r="P20" i="1" s="1"/>
  <c r="P19" i="1" a="1"/>
  <c r="P19" i="1" s="1"/>
  <c r="P18" i="1" a="1"/>
  <c r="P18" i="1" s="1"/>
  <c r="P17" i="1" a="1"/>
  <c r="P17" i="1" s="1"/>
  <c r="P16" i="1" a="1"/>
  <c r="P16" i="1" s="1"/>
  <c r="P15" i="1" a="1"/>
  <c r="P15" i="1" s="1"/>
  <c r="P14" i="1" a="1"/>
  <c r="P14" i="1" s="1"/>
  <c r="P13" i="1" a="1"/>
  <c r="P13" i="1" s="1"/>
  <c r="P12" i="1" a="1"/>
  <c r="P12" i="1" s="1"/>
  <c r="P11" i="1" a="1"/>
  <c r="P11" i="1" s="1"/>
  <c r="P10" i="1" a="1"/>
  <c r="P10" i="1" s="1"/>
  <c r="P9" i="1" a="1"/>
  <c r="P9" i="1" s="1"/>
  <c r="P8" i="1" a="1"/>
  <c r="P8" i="1" s="1"/>
  <c r="P7" i="1" a="1"/>
  <c r="P7" i="1" s="1"/>
  <c r="P6" i="1" a="1"/>
  <c r="P6" i="1" s="1"/>
  <c r="P5" i="1" a="1"/>
  <c r="P5" i="1" s="1"/>
  <c r="P4" i="1" a="1"/>
  <c r="P4" i="1" s="1"/>
  <c r="P3" i="1" a="1"/>
  <c r="P3" i="1" s="1"/>
  <c r="E26" i="4" l="1"/>
  <c r="E29" i="4" s="1"/>
  <c r="E27" i="4"/>
  <c r="E28" i="4" s="1"/>
  <c r="M26" i="4"/>
  <c r="M29" i="4" s="1"/>
  <c r="M27" i="4"/>
  <c r="M28" i="4" s="1"/>
  <c r="G26" i="4"/>
  <c r="G29" i="4" s="1"/>
  <c r="G27" i="4"/>
  <c r="G28" i="4" s="1"/>
  <c r="I25" i="4"/>
  <c r="J26" i="4"/>
  <c r="J29" i="4" s="1"/>
  <c r="J27" i="4"/>
  <c r="J28" i="4" s="1"/>
  <c r="K26" i="4"/>
  <c r="K29" i="4" s="1"/>
  <c r="K27" i="4"/>
  <c r="K28" i="4" s="1"/>
  <c r="N27" i="4"/>
  <c r="N28" i="4" s="1"/>
  <c r="N26" i="4"/>
  <c r="N29" i="4" s="1"/>
  <c r="O26" i="4"/>
  <c r="O29" i="4" s="1"/>
  <c r="O27" i="4"/>
  <c r="O28" i="4" s="1"/>
  <c r="P26" i="4"/>
  <c r="P29" i="4" s="1"/>
  <c r="P27" i="4"/>
  <c r="P28" i="4" s="1"/>
  <c r="C26" i="4"/>
  <c r="C29" i="4" s="1"/>
  <c r="C27" i="4"/>
  <c r="C28" i="4" s="1"/>
  <c r="F26" i="4"/>
  <c r="F29" i="4" s="1"/>
  <c r="F27" i="4"/>
  <c r="F28" i="4" s="1"/>
  <c r="D26" i="4"/>
  <c r="D29" i="4" s="1"/>
  <c r="D27" i="4"/>
  <c r="D28" i="4" s="1"/>
  <c r="I20" i="4"/>
  <c r="L20" i="4"/>
  <c r="L25" i="4" s="1"/>
  <c r="B25" i="4"/>
  <c r="H25" i="4"/>
  <c r="L26" i="4" l="1"/>
  <c r="L29" i="4" s="1"/>
  <c r="L27" i="4"/>
  <c r="L28" i="4" s="1"/>
  <c r="H26" i="4"/>
  <c r="H29" i="4" s="1"/>
  <c r="H27" i="4"/>
  <c r="H28" i="4" s="1"/>
  <c r="B26" i="4"/>
  <c r="B29" i="4" s="1"/>
  <c r="B27" i="4"/>
  <c r="B28" i="4" s="1"/>
  <c r="I26" i="4"/>
  <c r="I29" i="4" s="1"/>
  <c r="I27" i="4"/>
  <c r="I2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Antonio Santander González</author>
  </authors>
  <commentList>
    <comment ref="A16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Luis Antonio Santander González:
lo que le pagaré mensualmente</t>
        </r>
      </text>
    </comment>
    <comment ref="A20" authorId="0" shapeId="0" xr:uid="{00000000-0006-0000-0300-000002000000}">
      <text>
        <r>
          <rPr>
            <sz val="11"/>
            <color theme="1"/>
            <rFont val="Aptos Narrow"/>
            <family val="2"/>
            <scheme val="minor"/>
          </rPr>
          <t>Luis Antonio Santander González:
SNMU*meses trabajados/meses en el año</t>
        </r>
      </text>
    </comment>
    <comment ref="A21" authorId="0" shapeId="0" xr:uid="{00000000-0006-0000-0300-000003000000}">
      <text>
        <r>
          <rPr>
            <sz val="11"/>
            <color theme="1"/>
            <rFont val="Aptos Narrow"/>
            <family val="2"/>
            <scheme val="minor"/>
          </rPr>
          <t>Luis Antonio Santander González:
SBU*meses trabajados/meses del año</t>
        </r>
      </text>
    </comment>
    <comment ref="A22" authorId="0" shapeId="0" xr:uid="{00000000-0006-0000-0300-000004000000}">
      <text>
        <r>
          <rPr>
            <sz val="11"/>
            <color theme="1"/>
            <rFont val="Aptos Narrow"/>
            <family val="2"/>
            <scheme val="minor"/>
          </rPr>
          <t>Luis Antonio Santander González:
SNMU*12.15%</t>
        </r>
      </text>
    </comment>
    <comment ref="A23" authorId="0" shapeId="0" xr:uid="{00000000-0006-0000-0300-000005000000}">
      <text>
        <r>
          <rPr>
            <sz val="11"/>
            <color theme="1"/>
            <rFont val="Aptos Narrow"/>
            <family val="2"/>
            <scheme val="minor"/>
          </rPr>
          <t>Luis Antonio Santander González:
aporte al trabajador del 8.333% del salario anual</t>
        </r>
      </text>
    </comment>
  </commentList>
</comments>
</file>

<file path=xl/sharedStrings.xml><?xml version="1.0" encoding="utf-8"?>
<sst xmlns="http://schemas.openxmlformats.org/spreadsheetml/2006/main" count="7206" uniqueCount="1927">
  <si>
    <t>IDENTIDAD</t>
  </si>
  <si>
    <t>CLASIFICACION</t>
  </si>
  <si>
    <t>ATRIBUTOS</t>
  </si>
  <si>
    <t>PRECIO</t>
  </si>
  <si>
    <t>CONTROL</t>
  </si>
  <si>
    <t>ID</t>
  </si>
  <si>
    <t>Codigo</t>
  </si>
  <si>
    <t>Descripcion</t>
  </si>
  <si>
    <t>Categoria</t>
  </si>
  <si>
    <t>Subcategoria</t>
  </si>
  <si>
    <t>Tipo</t>
  </si>
  <si>
    <t>Familia</t>
  </si>
  <si>
    <t>Marca</t>
  </si>
  <si>
    <t>Modelo</t>
  </si>
  <si>
    <t>Presentacion</t>
  </si>
  <si>
    <t>Medidas</t>
  </si>
  <si>
    <t>Color</t>
  </si>
  <si>
    <t>Otros</t>
  </si>
  <si>
    <t>Unidad</t>
  </si>
  <si>
    <t>Precio Mercado</t>
  </si>
  <si>
    <t>Precio Unitario</t>
  </si>
  <si>
    <t>Fecha Precio</t>
  </si>
  <si>
    <t>Fuente Precio</t>
  </si>
  <si>
    <t>Iva</t>
  </si>
  <si>
    <t>Fecha Creacion</t>
  </si>
  <si>
    <t>Fecha Actualizacion</t>
  </si>
  <si>
    <t>Observacion</t>
  </si>
  <si>
    <t>Activo</t>
  </si>
  <si>
    <t>Estado</t>
  </si>
  <si>
    <t>MOB-GEN-0001</t>
  </si>
  <si>
    <t>Peon Est Ocup E2</t>
  </si>
  <si>
    <t>Mano de Obra</t>
  </si>
  <si>
    <t>General</t>
  </si>
  <si>
    <t>Personal</t>
  </si>
  <si>
    <t>Peon</t>
  </si>
  <si>
    <t>Est Ocup E2</t>
  </si>
  <si>
    <t>hh</t>
  </si>
  <si>
    <t>Referencial</t>
  </si>
  <si>
    <t>No Incluye</t>
  </si>
  <si>
    <t>RENDIMIENTO_NO_APLICA;Tarifa Base por hora;NORMALIZADO_RECURSOS;CODIGO_MIGRADO;FALTA_MEDIDAS;FALTA_FUENTE_PRECIO;FALTA_FECHA_PRECIO;IVA_NO_DEFINE</t>
  </si>
  <si>
    <t>Si</t>
  </si>
  <si>
    <t>Borrador</t>
  </si>
  <si>
    <t>MOB-GEN-0002</t>
  </si>
  <si>
    <t>Carpintero Est Ocup D2 G1</t>
  </si>
  <si>
    <t>Carpintero</t>
  </si>
  <si>
    <t>Est Ocup D2 G1</t>
  </si>
  <si>
    <t>RENDIMIENTO_NO_APLICA;Tarifa Base por hora;NORMALIZADO_RECURSOS;CODIGO_MIGRADO;FALTA_MEDIDAS;FALTA_FUENTE_PRECIO;FALTA_FECHA_PRECIO;IVA_NO_DEFINE;DATA_RECURSOS_ACTUALIZADO;SUBCATEGORIA_RECLASIFICADA;DESCRIPCION_REGENERADA</t>
  </si>
  <si>
    <t>MOB-GEN-0003</t>
  </si>
  <si>
    <t>Plomero Est Ocup D2 G1</t>
  </si>
  <si>
    <t>Plomero</t>
  </si>
  <si>
    <t>MOB-GEN-0004</t>
  </si>
  <si>
    <t>Pintor Est Ocup D2 G1</t>
  </si>
  <si>
    <t>Pintor</t>
  </si>
  <si>
    <t>RENDIMIENTO_NO_APLICA;Tarifa Base por hora;HOMOLOGADO;recurso maestro activo de pintor. Reemplaza a MO-PIN-001 por duplicidad funcional.;NORMALIZADO_RECURSOS;CODIGO_MIGRADO;FALTA_MEDIDAS;FALTA_FUENTE_PRECIO;FALTA_FECHA_PRECIO;IVA_NO_DEFINE;DATA_RECURSOS_ACTUALIZADO;SUBCATEGORIA_RECLASIFICADA;DESCRIPCION_REGENERADA</t>
  </si>
  <si>
    <t>MOB-GEN-0005</t>
  </si>
  <si>
    <t>Albanil Est Ocup D2 G2</t>
  </si>
  <si>
    <t>Albanil</t>
  </si>
  <si>
    <t>Est Ocup D2 G2</t>
  </si>
  <si>
    <t>MOB-GEN-0006</t>
  </si>
  <si>
    <t>Electricista Est Ocup D2 G3</t>
  </si>
  <si>
    <t>Electricista</t>
  </si>
  <si>
    <t>Est Ocup D2 G3</t>
  </si>
  <si>
    <t>MOB-GEN-0007</t>
  </si>
  <si>
    <t>Fierrero Est Ocup D2 G3</t>
  </si>
  <si>
    <t>Fierrero</t>
  </si>
  <si>
    <t>MOB-GEN-0008</t>
  </si>
  <si>
    <t>Topografo Est Ocup C1 G1</t>
  </si>
  <si>
    <t>Topografo</t>
  </si>
  <si>
    <t>Est Ocup C1 G1</t>
  </si>
  <si>
    <t>RENDIMIENTO_NO_APLICA;Tarifa Base por hora;NORMALIZADO_RECURSOS;CODIGO_MIGRADO;FALTA_MEDIDAS;FALTA_FUENTE_PRECIO;FALTA_FECHA_PRECIO;IVA_NO_DEFINE;DATA_RECURSOS_ACTUALIZADO</t>
  </si>
  <si>
    <t>MOB-GEN-0009</t>
  </si>
  <si>
    <t>Maestro Mayor Est Ocup C1 G3</t>
  </si>
  <si>
    <t>Maestro Mayor</t>
  </si>
  <si>
    <t>Est Ocup C1 G3</t>
  </si>
  <si>
    <t>MOB-GEN-0010</t>
  </si>
  <si>
    <t>Operador de Maquinaria Est Ocup C1 G2</t>
  </si>
  <si>
    <t>Operador de Maquinaria</t>
  </si>
  <si>
    <t>Est Ocup C1 G2</t>
  </si>
  <si>
    <t>MOB-GEN-0011</t>
  </si>
  <si>
    <t>Cadenero Est Ocup D2 G4</t>
  </si>
  <si>
    <t>Cadenero</t>
  </si>
  <si>
    <t>Est Ocup D2 G4</t>
  </si>
  <si>
    <t>MOB-GEN-0012</t>
  </si>
  <si>
    <t>Residente Est Ocup B1</t>
  </si>
  <si>
    <t>Residente</t>
  </si>
  <si>
    <t>Est Ocup B1</t>
  </si>
  <si>
    <t>EQP-GEN-0001</t>
  </si>
  <si>
    <t>Rodillo Liso</t>
  </si>
  <si>
    <t>Equipo</t>
  </si>
  <si>
    <t>c/h</t>
  </si>
  <si>
    <t>GENERICO;RENDIMIENTO_NO_APLICA;NORMALIZADO_RECURSOS;CODIGO_MIGRADO;FALTA_MEDIDAS;FALTA_FUENTE_PRECIO;FALTA_FECHA_PRECIO;IVA_NO_DEFINE;MODELO_NO_DEFINE</t>
  </si>
  <si>
    <t>EQP-GEN-0002</t>
  </si>
  <si>
    <t>Rodillo Neumatico</t>
  </si>
  <si>
    <t>EQP-GEN-0003</t>
  </si>
  <si>
    <t>Concretera 1 Saco</t>
  </si>
  <si>
    <t>Concretera</t>
  </si>
  <si>
    <t>1 Saco</t>
  </si>
  <si>
    <t>GENERICO;RENDIMIENTO_NO_APLICA;NORMALIZADO_RECURSOS;CODIGO_MIGRADO;FALTA_MEDIDAS;FALTA_FUENTE_PRECIO;FALTA_FECHA_PRECIO;IVA_NO_DEFINE</t>
  </si>
  <si>
    <t>EQP-GEN-0004</t>
  </si>
  <si>
    <t>Vibrador de Concreto</t>
  </si>
  <si>
    <t>Vibrado de Concreto</t>
  </si>
  <si>
    <t>EQP-GEN-0005</t>
  </si>
  <si>
    <t>Excavadora</t>
  </si>
  <si>
    <t>EQP-GEN-0006</t>
  </si>
  <si>
    <t>Montacarga</t>
  </si>
  <si>
    <t>Retroexcavadora</t>
  </si>
  <si>
    <t>EQP-GEN-0007</t>
  </si>
  <si>
    <t>EQP-GEN-0008</t>
  </si>
  <si>
    <t>Tanquero de Agua</t>
  </si>
  <si>
    <t>EQP-GEN-0009</t>
  </si>
  <si>
    <t>Motoniveladora</t>
  </si>
  <si>
    <t>EQP-GEN-0010</t>
  </si>
  <si>
    <t>Volqueta 8m3</t>
  </si>
  <si>
    <t>Volqueta</t>
  </si>
  <si>
    <t>8m3</t>
  </si>
  <si>
    <t>EQP-GEN-0011</t>
  </si>
  <si>
    <t>Equipo Topografico</t>
  </si>
  <si>
    <t>MAT-HID-0001</t>
  </si>
  <si>
    <t>Tuberia PPR Termofusion D20mm 6m Plastigama</t>
  </si>
  <si>
    <t>Material</t>
  </si>
  <si>
    <t>Hidrosanitario</t>
  </si>
  <si>
    <t>Principal</t>
  </si>
  <si>
    <t>Tuberia</t>
  </si>
  <si>
    <t>Plastigama</t>
  </si>
  <si>
    <t>PPR Termofusion</t>
  </si>
  <si>
    <t>6m</t>
  </si>
  <si>
    <t>D20mm</t>
  </si>
  <si>
    <t>u</t>
  </si>
  <si>
    <t>web Demaco</t>
  </si>
  <si>
    <t>WEB_DEMACO;SKU_926110;PRECIO_WEB</t>
  </si>
  <si>
    <t>MAT-HID-0002</t>
  </si>
  <si>
    <t>Tuberia PPR Termofusion D25mm 6m Plastigama</t>
  </si>
  <si>
    <t>D25mm</t>
  </si>
  <si>
    <t>WEB_DEMACO;SKU_926111;PRECIO_WEB</t>
  </si>
  <si>
    <t>MAT-HID-0003</t>
  </si>
  <si>
    <t>Tuberia PPR Termofusion D32mm 6m Plastigama</t>
  </si>
  <si>
    <t>D32mm</t>
  </si>
  <si>
    <t>WEB_DEMACO;SKU_926112;PRECIO_WEB</t>
  </si>
  <si>
    <t>MAT-HID-0004</t>
  </si>
  <si>
    <t>Codo PPR Termofusion 90 D20mm Plastigama</t>
  </si>
  <si>
    <t>Accesorio</t>
  </si>
  <si>
    <t>Codo</t>
  </si>
  <si>
    <t>PPR Termofusion 90</t>
  </si>
  <si>
    <t>unidad</t>
  </si>
  <si>
    <t>WEB_DEMACO;SKU_924973;PRECIO_WEB</t>
  </si>
  <si>
    <t>MAT-HID-0005</t>
  </si>
  <si>
    <t>Codo PPR Termofusion 90 D25mm Plastigama</t>
  </si>
  <si>
    <t>WEB_DEMACO;SKU_924974;PRECIO_WEB</t>
  </si>
  <si>
    <t>MAT-HID-0006</t>
  </si>
  <si>
    <t>Codo PPR Termofusion 90 D32mm Plastigama</t>
  </si>
  <si>
    <t>WEB_DEMACO;SKU_924975;PRECIO_WEB</t>
  </si>
  <si>
    <t>MAT-HID-0007</t>
  </si>
  <si>
    <t>Tee PPR Termofusion D20mm Plastigama</t>
  </si>
  <si>
    <t>Tee</t>
  </si>
  <si>
    <t>WEB_DEMACO;SKU_925624;PRECIO_WEB</t>
  </si>
  <si>
    <t>MAT-HID-0008</t>
  </si>
  <si>
    <t>Tee PPR Termofusion D25mm Plastigama</t>
  </si>
  <si>
    <t>WEB_DEMACO;SKU_926757;PRECIO_WEB</t>
  </si>
  <si>
    <t>MAT-HID-0009</t>
  </si>
  <si>
    <t>Tee PPR Termofusion D32mm ERA</t>
  </si>
  <si>
    <t>ERA</t>
  </si>
  <si>
    <t>WEB_DEMACO;SKU_ER163;PRECIO_WEB</t>
  </si>
  <si>
    <t>MAT-HID-0010</t>
  </si>
  <si>
    <t>Union PPR Termofusion D20mm Plastigama</t>
  </si>
  <si>
    <t>Union</t>
  </si>
  <si>
    <t>WEB_DEMACO;SKU_926322;PRECIO_WEB</t>
  </si>
  <si>
    <t>MAT-HID-0011</t>
  </si>
  <si>
    <t>Union PPR Termofusion D25mm Plastigama</t>
  </si>
  <si>
    <t>WEB_DEMACO;SKU_926270;PRECIO_WEB</t>
  </si>
  <si>
    <t>MAT-HID-0012</t>
  </si>
  <si>
    <t>Union PPR Termofusion D32mm ERA</t>
  </si>
  <si>
    <t>WEB_DEMACO;SKU_ER193;PRECIO_WEB</t>
  </si>
  <si>
    <t>MAT-HID-0013</t>
  </si>
  <si>
    <t>Reductor PPR Termofusion D25mm x D20mm Plastigama</t>
  </si>
  <si>
    <t>Reductor</t>
  </si>
  <si>
    <t>D25mm x D20mm</t>
  </si>
  <si>
    <t>WEB_DEMACO; SKU_925157; PRECIO_WEB</t>
  </si>
  <si>
    <t>MAT-HID-0014</t>
  </si>
  <si>
    <t>Reductor PPR Termofusion D32mm x D25mm Plastigama</t>
  </si>
  <si>
    <t>D32mm x D25mm</t>
  </si>
  <si>
    <t>WEB_DEMACO; SKU_926782; PRECIO_WEB</t>
  </si>
  <si>
    <t>MAT-HID-0015</t>
  </si>
  <si>
    <t>Reductor PPR Termofusion D32mm x D20mm ERA</t>
  </si>
  <si>
    <t>D32mm x D20mm</t>
  </si>
  <si>
    <t>WEB_DEMACO;SKU_ER141;PRECIO_WEB</t>
  </si>
  <si>
    <t>MAT-HID-0016</t>
  </si>
  <si>
    <t>Adaptador PPR Termofusion Macho D20mm x 1/2" Plastigama</t>
  </si>
  <si>
    <t>Adaptador</t>
  </si>
  <si>
    <t>PPR Termofusion Macho</t>
  </si>
  <si>
    <t>D20mm x 1/2"</t>
  </si>
  <si>
    <t>WEB_DEMACO;SKU_924470;PRECIO_WEB</t>
  </si>
  <si>
    <t>MAT-HID-0017</t>
  </si>
  <si>
    <t>Adaptador PPR Termofusion Hembra D20mm x 1/2" Plastigama</t>
  </si>
  <si>
    <t>PPR Termofusion Hembra</t>
  </si>
  <si>
    <t>WEB_DEMACO;SKU_925155;PRECIO_WEB</t>
  </si>
  <si>
    <t>MAT-HID-0018</t>
  </si>
  <si>
    <t>Adaptador PPR Termofusion Hembra D25mm x 3/4" Plastigama</t>
  </si>
  <si>
    <t>D25mm x 3/4"</t>
  </si>
  <si>
    <t>WEB_DEMACO;SKU_926744;PRECIO_WEB</t>
  </si>
  <si>
    <t>MAT-HID-0019</t>
  </si>
  <si>
    <t>Adaptador PPR Termofusion Macho D32mm x 1" Plastigama</t>
  </si>
  <si>
    <t>D32mm x 1"</t>
  </si>
  <si>
    <t>WEB_DEMACO;SKU_926739;PRECIO_WEB</t>
  </si>
  <si>
    <t>MAT-HID-0020</t>
  </si>
  <si>
    <t>Tapon PPR Termofusion Hembra D20mm Plastigama</t>
  </si>
  <si>
    <t>Tapon</t>
  </si>
  <si>
    <t>WEB_DEMACO;SKU_925562;PRECIO_WEB</t>
  </si>
  <si>
    <t>MAT-HID-0021</t>
  </si>
  <si>
    <t>Tapon PPR Termofusion Hembra D32mm Plastigama</t>
  </si>
  <si>
    <t>WEB_DEMACO;SKU_925503;PRECIO_WEB</t>
  </si>
  <si>
    <t>MAT-HID-0022</t>
  </si>
  <si>
    <t>Tuberia PVC Sanitario Desague D50mm 3m Plastigama</t>
  </si>
  <si>
    <t>PVC Sanitario Desague</t>
  </si>
  <si>
    <t>3m</t>
  </si>
  <si>
    <t>D50mm</t>
  </si>
  <si>
    <t>WEB_DEMACO;SKU_926224;PRECIO_WEB</t>
  </si>
  <si>
    <t>MAT-HID-0023</t>
  </si>
  <si>
    <t>Tuberia PVC Sanitario Desague D75mm 3m Plastigama</t>
  </si>
  <si>
    <t>D75mm</t>
  </si>
  <si>
    <t>WEB_DEMACO;SKU_926225;PRECIO_WEB</t>
  </si>
  <si>
    <t>MAT-HID-0024</t>
  </si>
  <si>
    <t>Tuberia PVC Sanitario Desague D110mm 3m Plastigama</t>
  </si>
  <si>
    <t>D110mm</t>
  </si>
  <si>
    <t>WEB_DEMACO;SKU_926217;PRECIO_WEB;SIN_STOCK_WEB</t>
  </si>
  <si>
    <t>MAT-HID-0025</t>
  </si>
  <si>
    <t>Codo PVC Sanitario Desague EC 90 D50mm Plastigama</t>
  </si>
  <si>
    <t>PVC Sanitario Desague EC 90</t>
  </si>
  <si>
    <t>WEB_DEMACO;SKU_925027;PRECIO_WEB</t>
  </si>
  <si>
    <t>MAT-HID-0026</t>
  </si>
  <si>
    <t>Codo PVC Sanitario Desague EC 90 D75mm Plastigama</t>
  </si>
  <si>
    <t>WEB_DEMACO;SKU_925029;PRECIO_WEB</t>
  </si>
  <si>
    <t>MAT-HID-0027</t>
  </si>
  <si>
    <t>Codo PVC Sanitario Desague EC 90 D110mm Plastigama</t>
  </si>
  <si>
    <t>WEB_DEMACO;SKU_925019;PRECIO_WEB</t>
  </si>
  <si>
    <t>MAT-HID-0028</t>
  </si>
  <si>
    <t>Codo PVC Sanitario Desague EC 45 D50mm Plastigama</t>
  </si>
  <si>
    <t>PVC Sanitario Desague EC 45</t>
  </si>
  <si>
    <t>WEB_DEMACO;SKU_925015;PRECIO_WEB</t>
  </si>
  <si>
    <t>MAT-HID-0029</t>
  </si>
  <si>
    <t>Codo PVC Sanitario Desague EC 45 D75mm Plastigama</t>
  </si>
  <si>
    <t>WEB_DEMACO;SKU_925016;PRECIO_WEB</t>
  </si>
  <si>
    <t>MAT-HID-0030</t>
  </si>
  <si>
    <t>Codo PVC Sanitario Desague EC 45 D110mm Plastigama</t>
  </si>
  <si>
    <t>WEB_DEMACO;SKU_925006;PRECIO_WEB</t>
  </si>
  <si>
    <t>MAT-HID-0031</t>
  </si>
  <si>
    <t>Tee PVC Sanitario Desague CC D50mm Plastigama</t>
  </si>
  <si>
    <t>PVC Sanitario Desague CC</t>
  </si>
  <si>
    <t>WEB_DEMACO;SKU_925848;PRECIO_WEB</t>
  </si>
  <si>
    <t>MAT-HID-0032</t>
  </si>
  <si>
    <t>Tee PVC Sanitario Desague CC D75mm Plastigama</t>
  </si>
  <si>
    <t>WEB_DEMACO;SKU_925849;PRECIO_WEB</t>
  </si>
  <si>
    <t>MAT-HID-0033</t>
  </si>
  <si>
    <t>Tee PVC Sanitario Desague CC D110mm Plastigama</t>
  </si>
  <si>
    <t>WEB_DEMACO;SKU_925850;PRECIO_WEB</t>
  </si>
  <si>
    <t>MAT-HID-0034</t>
  </si>
  <si>
    <t>Yee PVC Sanitario Desague CC D50mm Plastigama</t>
  </si>
  <si>
    <t>Yee</t>
  </si>
  <si>
    <t>WEB_DEMACO;SKU_926483;PRECIO_WEB</t>
  </si>
  <si>
    <t>MAT-HID-0035</t>
  </si>
  <si>
    <t>Yee PVC Sanitario Desague CC D75mm Plastigama</t>
  </si>
  <si>
    <t>WEB_DEMACO;SKU_926482;PRECIO_WEB</t>
  </si>
  <si>
    <t>MAT-HID-0036</t>
  </si>
  <si>
    <t>Yee PVC Sanitario Desague CC D110mm Plastigama</t>
  </si>
  <si>
    <t>WEB_DEMACO;SKU_926479;PRECIO_WEB</t>
  </si>
  <si>
    <t>MAT-HID-0037</t>
  </si>
  <si>
    <t>Union PVC Sanitario Desague CC D50mm Plastigama</t>
  </si>
  <si>
    <t>WEB_DEMACO;SKU_926394;PRECIO_WEB</t>
  </si>
  <si>
    <t>MAT-HID-0038</t>
  </si>
  <si>
    <t>Union PVC Sanitario Desague CC D75mm Plastigama</t>
  </si>
  <si>
    <t>WEB_DEMACO;SKU_926395;PRECIO_WEB</t>
  </si>
  <si>
    <t>MAT-HID-0039</t>
  </si>
  <si>
    <t>Union PVC Sanitario Desague CC D110mm Plastigama</t>
  </si>
  <si>
    <t>WEB_DEMACO;SKU_926388;PRECIO_WEB</t>
  </si>
  <si>
    <t>MAT-HID-0040</t>
  </si>
  <si>
    <t>Sifon PVC Sanitario Desague D50mm Plastigama</t>
  </si>
  <si>
    <t>Sifon</t>
  </si>
  <si>
    <t>WEB_DEMACO;SKU_925421;PRECIO_WEB</t>
  </si>
  <si>
    <t>MAT-HID-0041</t>
  </si>
  <si>
    <t>Sifon PVC Sanitario Desague D75mm Plastigama</t>
  </si>
  <si>
    <t>WEB_DEMACO;SKU_925422;PRECIO_WEB</t>
  </si>
  <si>
    <t>MAT-HID-0042</t>
  </si>
  <si>
    <t>Sifon PVC Sanitario Desague D110mm Plastigama</t>
  </si>
  <si>
    <t>WEB_DEMACO;SKU_925420;PRECIO_WEB</t>
  </si>
  <si>
    <t>MAT-HID-0043</t>
  </si>
  <si>
    <t>Tee Reductora PVC Sanitario Desague CC D75mm x D50mm Plastigama</t>
  </si>
  <si>
    <t>PVC Sanitario Desague Reductora CC</t>
  </si>
  <si>
    <t>D75mm x D50mm</t>
  </si>
  <si>
    <t>WEB_DEMACO;SKU_925835;PRECIO_WEB</t>
  </si>
  <si>
    <t>MAT-HID-0044</t>
  </si>
  <si>
    <t>Tee Reductora PVC Sanitario Desague CC D110mm x D50mm Plastigama</t>
  </si>
  <si>
    <t>D110mm x D50mm</t>
  </si>
  <si>
    <t>WEB_DEMACO;SKU_925836;PRECIO_WEB</t>
  </si>
  <si>
    <t>MAT-HID-0045</t>
  </si>
  <si>
    <t>Tee Reductora PVC Sanitario Desague CC D110mm x D75mm Plastigama</t>
  </si>
  <si>
    <t>D110mm x D75mm</t>
  </si>
  <si>
    <t>WEB_DEMACO;SKU_925837;PRECIO_WEB</t>
  </si>
  <si>
    <t>MAT-HID-0046</t>
  </si>
  <si>
    <t>Yee Reductora PVC Sanitario Desague CC D75mm x D50mm Plastigama</t>
  </si>
  <si>
    <t>WEB_DEMACO;SKU_926476;PRECIO_WEB</t>
  </si>
  <si>
    <t>MAT-HID-0047</t>
  </si>
  <si>
    <t>Yee Reductora PVC Sanitario Desague CC D110mm x D50mm Plastigama</t>
  </si>
  <si>
    <t>WEB_DEMACO;SKU_926466;PRECIO_WEB</t>
  </si>
  <si>
    <t>MAT-HID-0048</t>
  </si>
  <si>
    <t>Yee Reductora PVC Sanitario Desague CC D110mm x D75mm Plastigama</t>
  </si>
  <si>
    <t>WEB_DEMACO;SKU_926467;PRECIO_WEB</t>
  </si>
  <si>
    <t>MAT-HID-0049</t>
  </si>
  <si>
    <t>Codo Reductor PVC Sanitario Desague Ramal D110mm x D50mm Plastigama</t>
  </si>
  <si>
    <t>PVC Sanitario Desague Reductor Ramal</t>
  </si>
  <si>
    <t>WEB_DEMACO;SKU_925017;PRECIO_WEB</t>
  </si>
  <si>
    <t>MAT-HID-0050</t>
  </si>
  <si>
    <t>Tuberia PVC Presion EC 1.25MPa D25mm 6m Plastigama</t>
  </si>
  <si>
    <t>PVC Presion EC 1.25MPa</t>
  </si>
  <si>
    <t>2026-04-29 00:00:00</t>
  </si>
  <si>
    <t>WEB_DEMACO;SKU_926085;PRECIO_WEB</t>
  </si>
  <si>
    <t>MAT-HID-0051</t>
  </si>
  <si>
    <t>Tuberia PVC Presion EC 1.25MPa D50mm 6m Plastigama</t>
  </si>
  <si>
    <t>WEB_DEMACO;SKU_926024;PRECIO_WEB</t>
  </si>
  <si>
    <t>MAT-HID-0052</t>
  </si>
  <si>
    <t>Codo PVC Presion CC 90 D25mm Plastigama</t>
  </si>
  <si>
    <t>PVC Presion CC 90</t>
  </si>
  <si>
    <t>WEB_DEMACO;SKU_924981;PRECIO_WEB</t>
  </si>
  <si>
    <t>MAT-HID-0053</t>
  </si>
  <si>
    <t>Codo PVC Presion CC 90 D50mm Plastigama</t>
  </si>
  <si>
    <t>WEB_DEMACO;SKU_924952;PRECIO_WEB</t>
  </si>
  <si>
    <t>MAT-HID-0054</t>
  </si>
  <si>
    <t>Tee PVC Presion CC D25mm Plastigama</t>
  </si>
  <si>
    <t>PVC Presion CC</t>
  </si>
  <si>
    <t>WEB_DEMACO;SKU_925659;PRECIO_WEB</t>
  </si>
  <si>
    <t>MAT-HID-0055</t>
  </si>
  <si>
    <t>Tee PVC Presion CC D50mm Plastigama</t>
  </si>
  <si>
    <t>WEB_DEMACO;SKU_925670;PRECIO_WEB</t>
  </si>
  <si>
    <t>MAT-HID-0056</t>
  </si>
  <si>
    <t>Union PVC Presion CC D25mm Plastigama</t>
  </si>
  <si>
    <t>WEB_DEMACO;SKU_926310;PRECIO_WEB</t>
  </si>
  <si>
    <t>MAT-HID-0057</t>
  </si>
  <si>
    <t>Union PVC Presion CC D50mm Plastigama</t>
  </si>
  <si>
    <t>WEB_DEMACO;SKU_926314;PRECIO_WEB;SIN_STOCK_WEB</t>
  </si>
  <si>
    <t>MAT-HID-0058</t>
  </si>
  <si>
    <t>Tee Reductora PVC Presion EC D50mm x D25mm Plastigama</t>
  </si>
  <si>
    <t>PVC Presion Reductora EC</t>
  </si>
  <si>
    <t>D50mm x D25mm</t>
  </si>
  <si>
    <t>WEB_DEMACO;SKU_925708;PRECIO_WEB</t>
  </si>
  <si>
    <t>MAT-HID-0059</t>
  </si>
  <si>
    <t>Reductor PVC Presion CC PN10 D50mm x D25mm ERA</t>
  </si>
  <si>
    <t>PVC Presion CC PN10</t>
  </si>
  <si>
    <t>WEB_DEMACO;SKU_15994;PRECIO_WEB</t>
  </si>
  <si>
    <t>MAT-HID-0060</t>
  </si>
  <si>
    <t>Tuberia PPR Gas D20mm 4m Amarillo Blue Ocean</t>
  </si>
  <si>
    <t>Blue Ocean</t>
  </si>
  <si>
    <t>PPR Gas</t>
  </si>
  <si>
    <t>4m</t>
  </si>
  <si>
    <t>Amarillo</t>
  </si>
  <si>
    <t>web GamaHydro</t>
  </si>
  <si>
    <t>No Define</t>
  </si>
  <si>
    <t>WEB_GAMAHYDRO;SKU_GAS042001;PRECIO_LISTA_WEB;IVA_NO_VERIFICADO</t>
  </si>
  <si>
    <t>MAT-HID-0061</t>
  </si>
  <si>
    <t>Codo PPR Gas 90 D20mm Amarillo Blue Ocean</t>
  </si>
  <si>
    <t>PPR Gas 90</t>
  </si>
  <si>
    <t>WEB_GAMAHYDRO;SKU_GAS000385;PRECIO_WEB;IVA_NO_VERIFICADO</t>
  </si>
  <si>
    <t>MAT-HID-0062</t>
  </si>
  <si>
    <t>Tee PPR Gas D20mm Amarillo Blue Ocean</t>
  </si>
  <si>
    <t>WEB_GAMAHYDRO;SKU_GAS000467;PRECIO_WEB;IVA_NO_VERIFICADO</t>
  </si>
  <si>
    <t>MAT-HID-0063</t>
  </si>
  <si>
    <t>Union PPR Gas D20mm Amarillo Blue Ocean</t>
  </si>
  <si>
    <t>WEB_GAMAHYDRO;SKU_GAS000498;PRECIO_WEB;IVA_NO_VERIFICADO</t>
  </si>
  <si>
    <t>MAT-HID-0064</t>
  </si>
  <si>
    <t>Adaptador PPR Gas Hembra D20mm x 1/2" Amarillo Blue Ocean</t>
  </si>
  <si>
    <t>PPR Gas Hembra</t>
  </si>
  <si>
    <t>WEB_GAMAHYDRO;SKU_GAS000353;PRECIO_WEB;IVA_NO_VERIFICADO</t>
  </si>
  <si>
    <t>MAT-HID-0065</t>
  </si>
  <si>
    <t>Adaptador PPR Gas Macho D20mm x 1/2" Amarillo Blue Ocean</t>
  </si>
  <si>
    <t>PPR Gas Macho</t>
  </si>
  <si>
    <t>WEB_GAMAHYDRO;SKU_GAS000354;PRECIO_WEB;IVA_NO_VERIFICADO</t>
  </si>
  <si>
    <t>MAT-HID-0066</t>
  </si>
  <si>
    <t>Codo PPR Gas Rosca Hembra 90 D20mm x 1/2" Amarillo Blue Ocean</t>
  </si>
  <si>
    <t>PPR Gas Rosca Hembra 90</t>
  </si>
  <si>
    <t>WEB_GAMAHYDRO;SKU_GAS000389;PRECIO_WEB;IVA_NO_VERIFICADO</t>
  </si>
  <si>
    <t>MAT-HID-0067</t>
  </si>
  <si>
    <t>Tee PPR Gas Rosca Hembra D20mm x 1/2" Amarillo Blue Ocean</t>
  </si>
  <si>
    <t>PPR Gas Rosca Hembra</t>
  </si>
  <si>
    <t>WEB_GAMAHYDRO;SKU_ADAP2012HFG;PRECIO_WEB;IVA_NO_VERIFICADO</t>
  </si>
  <si>
    <t>MAT-HID-0068</t>
  </si>
  <si>
    <t>Valvula PPR Gas Bola D20mm Amarillo Blue Ocean</t>
  </si>
  <si>
    <t>Valvula</t>
  </si>
  <si>
    <t>PPR Gas Bola</t>
  </si>
  <si>
    <t>WEB_GAMAHYDRO;SKU_GAS000522;PRECIO_WEB;IVA_NO_VERIFICADO</t>
  </si>
  <si>
    <t>MAT-HID-0069</t>
  </si>
  <si>
    <t>Abrazadera PPR Gas D20mm Amarillo Blue Ocean</t>
  </si>
  <si>
    <t>Abrazadera</t>
  </si>
  <si>
    <t>WEB_GAMAHYDRO;PRECIO_WEB;IVA_NO_VERIFICADO</t>
  </si>
  <si>
    <t>MAT-HID-0070</t>
  </si>
  <si>
    <t>Cinta Teflon Uso General 1/2" 10m Plastigama</t>
  </si>
  <si>
    <t>Consumible</t>
  </si>
  <si>
    <t>Cinta Teflon</t>
  </si>
  <si>
    <t>Uso general</t>
  </si>
  <si>
    <t>10m</t>
  </si>
  <si>
    <t>1/2"</t>
  </si>
  <si>
    <t>web Kywi</t>
  </si>
  <si>
    <t>Incluye</t>
  </si>
  <si>
    <t>WEB_KYWI;SKU_188247;PRECIO_WEB</t>
  </si>
  <si>
    <t>MAT-HID-0071</t>
  </si>
  <si>
    <t>Cinta Teflon Gas 1/2" 10m Malvas</t>
  </si>
  <si>
    <t>Malvas</t>
  </si>
  <si>
    <t>Gas</t>
  </si>
  <si>
    <t>WEB_KYWI;SKU_217018;PRECIO_WEB</t>
  </si>
  <si>
    <t>MAT-HID-0072</t>
  </si>
  <si>
    <t>Adhesivo PVC Kalipega 125cc Plastigama</t>
  </si>
  <si>
    <t>Adhesivo</t>
  </si>
  <si>
    <t>PVC Kalipega</t>
  </si>
  <si>
    <t>125cc</t>
  </si>
  <si>
    <t>WEB_KYWI;SKU_187402;PRECIO_WEB</t>
  </si>
  <si>
    <t>MAT-HID-0073</t>
  </si>
  <si>
    <t>Adhesivo PVC Kalipega 250cc Plastigama</t>
  </si>
  <si>
    <t>250cc</t>
  </si>
  <si>
    <t>WEB_KYWI;SKU_187410;PRECIO_WEB</t>
  </si>
  <si>
    <t>MAT-HID-0074</t>
  </si>
  <si>
    <t>Adhesivo PVC Kalipega 946cc Plastigama</t>
  </si>
  <si>
    <t>946cc</t>
  </si>
  <si>
    <t>WEB_KYWI;SKU_187488;PRECIO_WEB</t>
  </si>
  <si>
    <t>MAT-HID-0075</t>
  </si>
  <si>
    <t>Limpiador PVC 1000cc Plastigama</t>
  </si>
  <si>
    <t>Limpiador</t>
  </si>
  <si>
    <t>PVC</t>
  </si>
  <si>
    <t>1000cc</t>
  </si>
  <si>
    <t>WEB_KYWI;SKU_187291;PRECIO_WEB</t>
  </si>
  <si>
    <t>MAT-HID-0076</t>
  </si>
  <si>
    <t>Valvula PPR Termofusion Llave de Paso D20mm Plastigama</t>
  </si>
  <si>
    <t>PPR Termofusion Llave de Paso</t>
  </si>
  <si>
    <t>WEB_DEMACO;SKU_924364;PRECIO_WEB;SIN_STOCK_WEB</t>
  </si>
  <si>
    <t>MAT-HID-0077</t>
  </si>
  <si>
    <t>Valvula PPR Termofusion Llave de Paso D20mm ERA</t>
  </si>
  <si>
    <t>WEB_DEMACO;SKU_er1801;PRECIO_WEB;SIN_STOCK_WEB</t>
  </si>
  <si>
    <t>MAT-HID-0078</t>
  </si>
  <si>
    <t>Valvula Esferica Estandar HH 1/2" FV</t>
  </si>
  <si>
    <t>FV</t>
  </si>
  <si>
    <t>Esferica Estandar HH</t>
  </si>
  <si>
    <t>WEB_DEMACO;SKU_0655.10.13cr;PRECIO_WEB</t>
  </si>
  <si>
    <t>MAT-HID-0079</t>
  </si>
  <si>
    <t>Niple Acero Galvanizado Perdido 1/2" Taihthing</t>
  </si>
  <si>
    <t>Niple</t>
  </si>
  <si>
    <t>Taihthing</t>
  </si>
  <si>
    <t>Acero Galvanizado Perdido</t>
  </si>
  <si>
    <t>WEB_DEMACO;SKU_2254l;PRECIO_WEB</t>
  </si>
  <si>
    <t>MAT-HID-0080</t>
  </si>
  <si>
    <t>Reductor Bushing Acero Galvanizado 1" x 1/2" Foset</t>
  </si>
  <si>
    <t>Foset</t>
  </si>
  <si>
    <t>Bushing Acero Galvanizado</t>
  </si>
  <si>
    <t>1" x 1/2"</t>
  </si>
  <si>
    <t>WEB_KYWI;SKU_223735;PRECIO_WEB</t>
  </si>
  <si>
    <t>MAT-HID-0081</t>
  </si>
  <si>
    <t>Union Universal Acero Galvanizado 1/2" Taihthing</t>
  </si>
  <si>
    <t>Universal Acero Galvanizado</t>
  </si>
  <si>
    <t>WEB_DEMACO;SKU_2460;PRECIO_WEB</t>
  </si>
  <si>
    <t>MAT-HID-0082</t>
  </si>
  <si>
    <t>Acople Medidor Agua 1/2" x 3/4" Yetka</t>
  </si>
  <si>
    <t>Acople</t>
  </si>
  <si>
    <t>Yetka</t>
  </si>
  <si>
    <t>Medidor Agua</t>
  </si>
  <si>
    <t>1/2" x 3/4"</t>
  </si>
  <si>
    <t>WEB_KYWI;SKU_157014;PRECIO_WEB</t>
  </si>
  <si>
    <t>MAT-HID-0083</t>
  </si>
  <si>
    <t>Medidor Agua Chorro Multiple Reloj Incluye Cobre 1/2" x 165mm LAO</t>
  </si>
  <si>
    <t>Medidor</t>
  </si>
  <si>
    <t>LAO</t>
  </si>
  <si>
    <t>Agua Chorro Multiple Reloj Incluye Cobre</t>
  </si>
  <si>
    <t>1/2" x 165mm</t>
  </si>
  <si>
    <t>modelo=LAO-M401VBN1E</t>
  </si>
  <si>
    <t>WEB_DEMACO;SKU_m401vbn1e;PRECIO_WEB;SIN_STOCK_WEB</t>
  </si>
  <si>
    <t>MAT-ELE-0001</t>
  </si>
  <si>
    <t>Tuberia PVC Conduit Pesado 1/2" 3m Plastigama</t>
  </si>
  <si>
    <t>Electrico</t>
  </si>
  <si>
    <t>PVC Conduit Pesado</t>
  </si>
  <si>
    <t>WEB_DEMACO;SKU_926550;PRECIO_WEB</t>
  </si>
  <si>
    <t>MAT-ELE-0002</t>
  </si>
  <si>
    <t>Tuberia PVC Conduit Pesado 3/4" 3m Plastigama</t>
  </si>
  <si>
    <t>3/4"</t>
  </si>
  <si>
    <t>WEB_DEMACO;SKU_926551;PRECIO_WEB</t>
  </si>
  <si>
    <t>MAT-ELE-0003</t>
  </si>
  <si>
    <t>Tuberia PVC Conduit Pesado 1" 3m Plastigama</t>
  </si>
  <si>
    <t>1"</t>
  </si>
  <si>
    <t>WEB_DEMACO;SKU_926549;PRECIO_WEB</t>
  </si>
  <si>
    <t>MAT-ELE-0004</t>
  </si>
  <si>
    <t>Tuberia PVC Conduit Pesado 1 1/4" 3m Plastigama</t>
  </si>
  <si>
    <t>1 1/4"</t>
  </si>
  <si>
    <t>WEB_DEMACO;SKU_926547;PRECIO_WEB;SIN_STOCK_WEB</t>
  </si>
  <si>
    <t>MAT-ELE-0005</t>
  </si>
  <si>
    <t>Codo PVC Conduit Termoformado 90 1/2" Plastigama</t>
  </si>
  <si>
    <t>PVC Conduit Termoformado 90</t>
  </si>
  <si>
    <t>WEB_DEMACO;SKU_962433e;PRECIO_WEB</t>
  </si>
  <si>
    <t>MAT-ELE-0006</t>
  </si>
  <si>
    <t>Codo PVC Conduit 90 3/4" Plastigama</t>
  </si>
  <si>
    <t>PVC Conduit 90</t>
  </si>
  <si>
    <t>WEB_DEMACO;SKU_924848e;PRECIO_WEB</t>
  </si>
  <si>
    <t>MAT-ELE-0007</t>
  </si>
  <si>
    <t>Codo PVC Conduit 90 1" Plastigama</t>
  </si>
  <si>
    <t>WEB_DEMACO;SKU_924845e;PRECIO_WEB</t>
  </si>
  <si>
    <t>MAT-ELE-0008</t>
  </si>
  <si>
    <t>Codo PVC Conduit 90 1 1/4" Plastigama</t>
  </si>
  <si>
    <t>WEB_DEMACO;SKU_16570e;PRECIO_WEB</t>
  </si>
  <si>
    <t>MAT-ELE-0009</t>
  </si>
  <si>
    <t>Conector PVC Conduit Conduflex 1/2" Plastigama</t>
  </si>
  <si>
    <t>Conector</t>
  </si>
  <si>
    <t>PVC Conduit Conduflex</t>
  </si>
  <si>
    <t>WEB_DEMACO;SKU_926265;PRECIO_WEB</t>
  </si>
  <si>
    <t>MAT-ELE-0010</t>
  </si>
  <si>
    <t>Conector PVC Conduit Conduflex 3/4" Plastigama</t>
  </si>
  <si>
    <t>WEB_DEMACO;SKU_926999;PRECIO_WEB</t>
  </si>
  <si>
    <t>MAT-ELE-0011</t>
  </si>
  <si>
    <t>Conector PVC Conduit 1" Plastigama</t>
  </si>
  <si>
    <t>PVC Conduit</t>
  </si>
  <si>
    <t>WEB_DEMACO;SKU_927144;PRECIO_WEB</t>
  </si>
  <si>
    <t>MAT-ELE-0012</t>
  </si>
  <si>
    <t>Caja PVC Rectangular 4"x2" Plastigama</t>
  </si>
  <si>
    <t>Caja</t>
  </si>
  <si>
    <t>PVC Rectangular</t>
  </si>
  <si>
    <t>4"x2"</t>
  </si>
  <si>
    <t>WEB_DEMACO;SKU_924235;PRECIO_WEB</t>
  </si>
  <si>
    <t>MAT-ELE-0013</t>
  </si>
  <si>
    <t>Caja PVC Octogonal Grande 100 x 100mm Electrocable</t>
  </si>
  <si>
    <t>Electrocable</t>
  </si>
  <si>
    <t>PVC Octogonal Grande</t>
  </si>
  <si>
    <t>100 x 100mm</t>
  </si>
  <si>
    <t>web Promart</t>
  </si>
  <si>
    <t>WEB_PROMART;SKU_26272;PRECIO_WEB</t>
  </si>
  <si>
    <t>MAT-ELE-0014</t>
  </si>
  <si>
    <t>Cinta Aislante Temflex 155 19mm 18m Negro 3M</t>
  </si>
  <si>
    <t>Cinta</t>
  </si>
  <si>
    <t>3M</t>
  </si>
  <si>
    <t>Aislante Temflex 155</t>
  </si>
  <si>
    <t>18m</t>
  </si>
  <si>
    <t>19mm</t>
  </si>
  <si>
    <t>Negro</t>
  </si>
  <si>
    <t>WEB_KYWI;SKU_313174;PRECIO_WEB</t>
  </si>
  <si>
    <t>MAT-ELE-0015</t>
  </si>
  <si>
    <t>Caja PVC Cuadrada 4"x4" Plastigama</t>
  </si>
  <si>
    <t>PVC Cuadrada</t>
  </si>
  <si>
    <t>4"x4"</t>
  </si>
  <si>
    <t>WEB_DEMACO;SKU_924233;PRECIO_WEB</t>
  </si>
  <si>
    <t>MAT-ELE-0016</t>
  </si>
  <si>
    <t>Tapa PVC Caja 4"x4" Plastigama</t>
  </si>
  <si>
    <t>Tapa</t>
  </si>
  <si>
    <t>PVC Caja</t>
  </si>
  <si>
    <t>WEB_DEMACO;SKU_924309;PRECIO_WEB</t>
  </si>
  <si>
    <t>MAT-ELE-0017</t>
  </si>
  <si>
    <t>Tuberia PVC Conduit Pesado D50mm 3m Pacifico</t>
  </si>
  <si>
    <t>Pacifico</t>
  </si>
  <si>
    <t>WEB_PROMART;SKU_19465;PRECIO_WEB;SIN_STOCK_WEB</t>
  </si>
  <si>
    <t>MAT-ELE-0018</t>
  </si>
  <si>
    <t>Codo PVC Conduit 90 D50mm M/B</t>
  </si>
  <si>
    <t>M/B</t>
  </si>
  <si>
    <t>WEB_PROMART;SKU_32687;PRECIO_WEB;SIN_STOCK_WEB</t>
  </si>
  <si>
    <t>MAT-ELE-0019</t>
  </si>
  <si>
    <t>Cable Concentrico 2x12 AWG m Electrocables</t>
  </si>
  <si>
    <t>Cable</t>
  </si>
  <si>
    <t>Electrocables</t>
  </si>
  <si>
    <t>Concentrico</t>
  </si>
  <si>
    <t>m</t>
  </si>
  <si>
    <t>2x12 AWG</t>
  </si>
  <si>
    <t>WEB_DEMACO;SKU_ec304583;PRECIO_WEB</t>
  </si>
  <si>
    <t>MAT-ELE-0020</t>
  </si>
  <si>
    <t>Cable Concentrico 2x14 AWG m Electrocables</t>
  </si>
  <si>
    <t>2x14 AWG</t>
  </si>
  <si>
    <t>WEB_DEMACO;SKU_ec304579;PRECIO_WEB</t>
  </si>
  <si>
    <t>MAT-ELE-0021</t>
  </si>
  <si>
    <t>Cable Concentrico 2x10 AWG m Electrocables</t>
  </si>
  <si>
    <t>2x10 AWG</t>
  </si>
  <si>
    <t>WEB_DEMACO;SKU_ec304586;PRECIO_WEB;SIN_STOCK_WEB</t>
  </si>
  <si>
    <t>MAT-ELE-0022</t>
  </si>
  <si>
    <t>Cable THHN Flexible Unilay 19H #14 AWG m Electrocables</t>
  </si>
  <si>
    <t>THHN Flexible Unilay 19H</t>
  </si>
  <si>
    <t>#14 AWG</t>
  </si>
  <si>
    <t>WEB_DEMACO;SKU_ec302162;PRECIO_WEB</t>
  </si>
  <si>
    <t>MAT-ELE-0023</t>
  </si>
  <si>
    <t>Cable THHN Flexible Unilay 19H #12 AWG m Electrocables</t>
  </si>
  <si>
    <t>#12 AWG</t>
  </si>
  <si>
    <t>WEB_DEMACO;SKU_ec302170;PRECIO_WEB</t>
  </si>
  <si>
    <t>MAT-ELE-0024</t>
  </si>
  <si>
    <t>Cable THHN Unilay 7H #6 AWG m Electrocables</t>
  </si>
  <si>
    <t>THHN Unilay 7H</t>
  </si>
  <si>
    <t>#6 AWG</t>
  </si>
  <si>
    <t>WEB_DEMACO;SKU_ec302196;PRECIO_WEB</t>
  </si>
  <si>
    <t>MAT-ELE-0025</t>
  </si>
  <si>
    <t>Cable THHN Unilay 7H #8 AWG m Electrocables</t>
  </si>
  <si>
    <t>#8 AWG</t>
  </si>
  <si>
    <t>WEB_DEMACO;SKU_ec302188;PRECIO_WEB</t>
  </si>
  <si>
    <t>MAT-ELE-0026</t>
  </si>
  <si>
    <t>Cable THHN Unilay #10 AWG m Electrocables</t>
  </si>
  <si>
    <t>THHN Unilay</t>
  </si>
  <si>
    <t>#10 AWG</t>
  </si>
  <si>
    <t>WEB_DEMACO;SKU_ec302179;PRECIO_WEB</t>
  </si>
  <si>
    <t>MAT-ELE-0027</t>
  </si>
  <si>
    <t>Conductor Cu TW Flexible #10 AWG 100m Azul Electrocables</t>
  </si>
  <si>
    <t>Conductor</t>
  </si>
  <si>
    <t>Cu TW Flexible</t>
  </si>
  <si>
    <t>100m</t>
  </si>
  <si>
    <t>Azul</t>
  </si>
  <si>
    <t>WEB_KYWI;SKU_695719;PRECIO_WEB</t>
  </si>
  <si>
    <t>MAT-ELE-0028</t>
  </si>
  <si>
    <t>Cinta Aislante Autofundente 19mm 10m Negro 3M</t>
  </si>
  <si>
    <t>Aislante Autofundente</t>
  </si>
  <si>
    <t>WEB_KYWI;SKU_768416;PRECIO_WEB</t>
  </si>
  <si>
    <t>MAT-ELE-0029</t>
  </si>
  <si>
    <t>Tubo Termoencogible Surtido pack x 120 Prosource</t>
  </si>
  <si>
    <t>Tubo</t>
  </si>
  <si>
    <t>Prosource</t>
  </si>
  <si>
    <t>Termoencogible Surtido</t>
  </si>
  <si>
    <t>pack x 120</t>
  </si>
  <si>
    <t>Surtido</t>
  </si>
  <si>
    <t>WEB_KYWI;SKU_660147;PRECIO_WEB</t>
  </si>
  <si>
    <t>MAT-ELE-0030</t>
  </si>
  <si>
    <t>Amarracable Nylon 30cm x 4.8mm pack x 100 Negro Dexson</t>
  </si>
  <si>
    <t>Amarracable</t>
  </si>
  <si>
    <t>Dexson</t>
  </si>
  <si>
    <t>Nylon</t>
  </si>
  <si>
    <t>pack x 100</t>
  </si>
  <si>
    <t>30cm x 4.8mm</t>
  </si>
  <si>
    <t>WEB_KYWI;SKU_198170;PRECIO_WEB</t>
  </si>
  <si>
    <t>MAT-ELE-0031</t>
  </si>
  <si>
    <t>Bornera Cable H 6A 6mm</t>
  </si>
  <si>
    <t>Bornera</t>
  </si>
  <si>
    <t>Cable H</t>
  </si>
  <si>
    <t>6A 6mm</t>
  </si>
  <si>
    <t>WEB_KYWI;SKU_309390;PRECIO_WEB</t>
  </si>
  <si>
    <t>MAT-ELE-0032</t>
  </si>
  <si>
    <t>Bornera Cable H 10A 10mm</t>
  </si>
  <si>
    <t>10A 10mm</t>
  </si>
  <si>
    <t>WEB_KYWI;SKU_309391;PRECIO_WEB</t>
  </si>
  <si>
    <t>MAT-ELE-0033</t>
  </si>
  <si>
    <t>Tomacorriente Plata Doble Polarizado Blanco Veto</t>
  </si>
  <si>
    <t>Tomacorriente</t>
  </si>
  <si>
    <t>Veto</t>
  </si>
  <si>
    <t>Plata Doble Polarizado</t>
  </si>
  <si>
    <t>Blanco</t>
  </si>
  <si>
    <t>15A</t>
  </si>
  <si>
    <t>web Electrocenter</t>
  </si>
  <si>
    <t>WEB_ELECTROCENTER;SKU_M1101426W;PRECIO_WEB</t>
  </si>
  <si>
    <t>MAT-ELE-0034</t>
  </si>
  <si>
    <t>Jack Plata Telefono Simple Blanco Veto</t>
  </si>
  <si>
    <t>Jack</t>
  </si>
  <si>
    <t>Plata Telefono Simple</t>
  </si>
  <si>
    <t>Telefono</t>
  </si>
  <si>
    <t>WEB_ELECTROCENTER;PRECIO_WEB</t>
  </si>
  <si>
    <t>MAT-ELE-0035</t>
  </si>
  <si>
    <t>Jack Vive TV Coaxial Simple Blanco Veto</t>
  </si>
  <si>
    <t>Vive TV Coaxial Simple</t>
  </si>
  <si>
    <t>TV coaxial</t>
  </si>
  <si>
    <t>WEB_ELECTROCENTER;SKU_M1102053X;PRECIO_WEB</t>
  </si>
  <si>
    <t>MAT-ELE-0036</t>
  </si>
  <si>
    <t>Tomacorriente Premium NEMA 10-20R 20A 250V Blanco Veto</t>
  </si>
  <si>
    <t>Premium</t>
  </si>
  <si>
    <t>NEMA 10-20R</t>
  </si>
  <si>
    <t>20A;250V</t>
  </si>
  <si>
    <t>WEB_KYWI;SKU_210145;PRECIO_WEB</t>
  </si>
  <si>
    <t>MAT-ELE-0037</t>
  </si>
  <si>
    <t>Tomacorriente Premium Empotrable NEMA 10-50R 50A 250V Blanco Veto</t>
  </si>
  <si>
    <t>Premium Empotrable</t>
  </si>
  <si>
    <t>NEMA 10-50R</t>
  </si>
  <si>
    <t>50A;250V</t>
  </si>
  <si>
    <t>WEB_KYWI;SKU_868892;PRECIO_WEB</t>
  </si>
  <si>
    <t>MAT-ELE-0038</t>
  </si>
  <si>
    <t>Interruptor Basic Conmutado Simple Blanco Veto</t>
  </si>
  <si>
    <t>Interruptor</t>
  </si>
  <si>
    <t>Basic Conmutado Simple</t>
  </si>
  <si>
    <t>SIN_LUZ_PILOTO</t>
  </si>
  <si>
    <t>WEB_ELECTROCENTER;SKU_M1104382X;PRECIO_WEB;SIN_LUZ_PILOTO</t>
  </si>
  <si>
    <t>MAT-ELE-0039</t>
  </si>
  <si>
    <t>Interruptor Plata Simple Blanco Veto</t>
  </si>
  <si>
    <t>Plata Simple</t>
  </si>
  <si>
    <t>WEB_ELECTROCENTER;PRECIO_WEB;SIN_LUZ_PILOTO</t>
  </si>
  <si>
    <t>MAT-ELE-0040</t>
  </si>
  <si>
    <t>Interruptor Plata Doble Blanco Veto</t>
  </si>
  <si>
    <t>Plata Doble</t>
  </si>
  <si>
    <t>WEB_ELECTROCENTER;SKU_M1101421X;PRECIO_WEB;SIN_LUZ_PILOTO</t>
  </si>
  <si>
    <t>MAT-ELE-0041</t>
  </si>
  <si>
    <t>Interruptor Plata Triple Blanco Veto</t>
  </si>
  <si>
    <t>Plata Triple</t>
  </si>
  <si>
    <t>MAT-ELE-0042</t>
  </si>
  <si>
    <t>Disyuntor Panel USA 1P 20A General Electric</t>
  </si>
  <si>
    <t>Disyuntor</t>
  </si>
  <si>
    <t>General Electric</t>
  </si>
  <si>
    <t>Panel USA</t>
  </si>
  <si>
    <t>1P;20A</t>
  </si>
  <si>
    <t>WEB_DEMACO;SKU_5050;PRECIO_WEB</t>
  </si>
  <si>
    <t>MAT-ELE-0043</t>
  </si>
  <si>
    <t>Disyuntor Panel USA 2P 20A General Electric</t>
  </si>
  <si>
    <t>2P;20A</t>
  </si>
  <si>
    <t>WEB_DEMACO;SKU_5062;PRECIO_WEB</t>
  </si>
  <si>
    <t>MAT-ELE-0044</t>
  </si>
  <si>
    <t>Disyuntor Sobrepuesto USA 2P 30A General Electric</t>
  </si>
  <si>
    <t>Sobrepuesto USA</t>
  </si>
  <si>
    <t>2P;30A</t>
  </si>
  <si>
    <t>WEB_DEMACO;SKU_5112;PRECIO_WEB</t>
  </si>
  <si>
    <t>MAT-ELE-0045</t>
  </si>
  <si>
    <t>Disyuntor Sobrepuesto USA 2P 40A General Electric</t>
  </si>
  <si>
    <t>2P;40A</t>
  </si>
  <si>
    <t>WEB_DEMACO;SKU_5114;PRECIO_WEB</t>
  </si>
  <si>
    <t>MAT-ELE-0046</t>
  </si>
  <si>
    <t>Placa Aqua Intemperie Traslucido 3 Modulos Blanco Maviju</t>
  </si>
  <si>
    <t>Placa</t>
  </si>
  <si>
    <t>Maviju</t>
  </si>
  <si>
    <t>Aqua Intemperie Traslucido 3 Modulos</t>
  </si>
  <si>
    <t>EL080158</t>
  </si>
  <si>
    <t>web Conexion by INGMAQ</t>
  </si>
  <si>
    <t>WEB_CONEXION_INGMAQ;SKU_EL080158;PRECIO_WEB</t>
  </si>
  <si>
    <t>MAT-ELE-0047</t>
  </si>
  <si>
    <t>Varilla Copperweld Alta Camada 254 Micras 5/8" x 1.80m Copperweld</t>
  </si>
  <si>
    <t>Varilla</t>
  </si>
  <si>
    <t>Copperweld</t>
  </si>
  <si>
    <t>Copperweld Alta Camada 254 Micras</t>
  </si>
  <si>
    <t>5/8" x 1.80m</t>
  </si>
  <si>
    <t>Puesta a tierra</t>
  </si>
  <si>
    <t>WEB_CONEXION_INGMAQ;SKU_VARILLA180;PRECIO_WEB</t>
  </si>
  <si>
    <t>MAT-ELE-0048</t>
  </si>
  <si>
    <t>Panel Monofasico TLM1620CCU 16-32 Espacios General Electric</t>
  </si>
  <si>
    <t>Panel</t>
  </si>
  <si>
    <t>Monofasico TLM1620CCU</t>
  </si>
  <si>
    <t>16-32 espacios</t>
  </si>
  <si>
    <t>WEB_KYWI;SKU_361672;PRECIO_WEB</t>
  </si>
  <si>
    <t>MAT-PSA-0001</t>
  </si>
  <si>
    <t>Inodoro New Firenze One Piece Alargado 64 x 37.8 x 73.2cm Edesa</t>
  </si>
  <si>
    <t>Piezas Sanitarias</t>
  </si>
  <si>
    <t>Inodoro</t>
  </si>
  <si>
    <t>Edesa</t>
  </si>
  <si>
    <t>New Firenze One Piece Alargado</t>
  </si>
  <si>
    <t>64 x 37.8 x 73.2cm</t>
  </si>
  <si>
    <t>2025-07-30</t>
  </si>
  <si>
    <t>PIEZAS SANITARIAS VILLAS.pdf</t>
  </si>
  <si>
    <t>2026-05-05</t>
  </si>
  <si>
    <t>COT_30365</t>
  </si>
  <si>
    <t>MAT-PSA-0002</t>
  </si>
  <si>
    <t>Inodoro Oasis Redondo Power Clean Plus 70.8 x 38.2 x 64.7cm Blanco Edesa</t>
  </si>
  <si>
    <t>Oasis Redondo Power Clean Plus</t>
  </si>
  <si>
    <t>70.8 x 38.2 x 64.7cm</t>
  </si>
  <si>
    <t>MAT-PSA-0003</t>
  </si>
  <si>
    <t>Sello Cera Inodoro Universal Edesa</t>
  </si>
  <si>
    <t>Sello</t>
  </si>
  <si>
    <t>Cera Inodoro</t>
  </si>
  <si>
    <t>Universal</t>
  </si>
  <si>
    <t>MAT-PSA-0004</t>
  </si>
  <si>
    <t>Llave Angular Inodoro con Manguera 1/2" HE NPT x 15/16" HI Edesa</t>
  </si>
  <si>
    <t>Llave</t>
  </si>
  <si>
    <t>Angular Inodoro con Manguera</t>
  </si>
  <si>
    <t>1/2" HE NPT x 15/16" HI</t>
  </si>
  <si>
    <t>MAT-PSA-0005</t>
  </si>
  <si>
    <t>Lavamanos Sotille 60 47 x 61.3 x 17.5cm Edesa</t>
  </si>
  <si>
    <t>Lavamanos</t>
  </si>
  <si>
    <t>Sotille 60</t>
  </si>
  <si>
    <t>47 x 61.3 x 17.5cm</t>
  </si>
  <si>
    <t>MAT-PSA-0006</t>
  </si>
  <si>
    <t>Griferia Porto Bajo Llave Lavamanos 14.8 x 4.5 x 14.5cm Briggs</t>
  </si>
  <si>
    <t>Griferia</t>
  </si>
  <si>
    <t>Briggs</t>
  </si>
  <si>
    <t>Porto Bajo Llave Lavamanos</t>
  </si>
  <si>
    <t>14.8 x 4.5 x 14.5cm</t>
  </si>
  <si>
    <t>MAT-PSA-0007</t>
  </si>
  <si>
    <t>Lavamanos Chelsea Sin Pedestal 37.6 x 42.5 x 21cm Blanco Edesa</t>
  </si>
  <si>
    <t>Chelsea Sin Pedestal</t>
  </si>
  <si>
    <t>37.6 x 42.5 x 21cm</t>
  </si>
  <si>
    <t>MAT-PSA-0008</t>
  </si>
  <si>
    <t>Desague PP con Rejilla y Sifon 1 1/4" Edesa</t>
  </si>
  <si>
    <t>Desague</t>
  </si>
  <si>
    <t>PP con Rejilla y Sifon</t>
  </si>
  <si>
    <t>MAT-PSA-0009</t>
  </si>
  <si>
    <t>Llave Angular Lavamanos con Manguera 1/2" HE NPT x 1/2" HI NPS Edesa</t>
  </si>
  <si>
    <t>Angular Lavamanos con Manguera</t>
  </si>
  <si>
    <t>1/2" HE NPT x 1/2" HI NPS</t>
  </si>
  <si>
    <t>MAT-PSA-0010</t>
  </si>
  <si>
    <t>Ducha Economica Regadera y Mezcladora Edesa</t>
  </si>
  <si>
    <t>Ducha</t>
  </si>
  <si>
    <t>Economica Regadera y Mezcladora</t>
  </si>
  <si>
    <t>Set</t>
  </si>
  <si>
    <t>MAT-PSA-0011</t>
  </si>
  <si>
    <t>Regadera Redonda Medium ABS con Brazo 21.4 x 10.5 x 15cm Edesa</t>
  </si>
  <si>
    <t>Regadera</t>
  </si>
  <si>
    <t>Redonda Medium ABS con Brazo</t>
  </si>
  <si>
    <t>21.4 x 10.5 x 15cm</t>
  </si>
  <si>
    <t>MAT-PSA-0012</t>
  </si>
  <si>
    <t>Griferia Porto Monomando Mezcladora Ducha 7.1 x 13 x 14cm Briggs</t>
  </si>
  <si>
    <t>Porto Monomando Mezcladora Ducha</t>
  </si>
  <si>
    <t>7.1 x 13 x 14cm</t>
  </si>
  <si>
    <t>MAT-PSA-0013</t>
  </si>
  <si>
    <t>Rejilla Inox Diseno con Trampa 10 x 10 x 4.9cm Edesa</t>
  </si>
  <si>
    <t>Rejilla</t>
  </si>
  <si>
    <t>Inox Diseno con Trampa</t>
  </si>
  <si>
    <t>10 x 10 x 4.9cm</t>
  </si>
  <si>
    <t>MAT-PSA-0014</t>
  </si>
  <si>
    <t>Rejilla Piso Inoxidable 2" Edesa</t>
  </si>
  <si>
    <t>Piso Inoxidable</t>
  </si>
  <si>
    <t>2"</t>
  </si>
  <si>
    <t>MAT-PSA-0015</t>
  </si>
  <si>
    <t>Fregadero Empotrado 2C Acero Inoxidable SS201 780 x 480mm Edesa</t>
  </si>
  <si>
    <t>Fregadero</t>
  </si>
  <si>
    <t>Empotrado 2C Acero Inoxidable SS201</t>
  </si>
  <si>
    <t>780 x 480mm</t>
  </si>
  <si>
    <t>MAT-PSA-0016</t>
  </si>
  <si>
    <t>Griferia Bela Monomando Cocina 21 x 9.2 x 35.4cm Edesa</t>
  </si>
  <si>
    <t>Bela Monomando Cocina</t>
  </si>
  <si>
    <t>21 x 9.2 x 35.4cm</t>
  </si>
  <si>
    <t>MAT-PSA-0017</t>
  </si>
  <si>
    <t>Llave Angular 1/2" HE NPT x 1/2" HE NPS Edesa</t>
  </si>
  <si>
    <t>Angular</t>
  </si>
  <si>
    <t>1/2" HE NPT x 1/2" HE NPS</t>
  </si>
  <si>
    <t>MAT-PSA-0018</t>
  </si>
  <si>
    <t>Fregadero Washito Sin Mueble 58.5 x 40.5 x 18.5cm Edesa</t>
  </si>
  <si>
    <t>Washito Sin Mueble</t>
  </si>
  <si>
    <t>58.5 x 40.5 x 18.5cm</t>
  </si>
  <si>
    <t>MAT-PSA-0019</t>
  </si>
  <si>
    <t>Desague Roscado Acero Inoxidable con Rejilla Tapon y Sifon Flexible 1 1/2" Edesa</t>
  </si>
  <si>
    <t>Roscado Acero Inoxidable con Rejilla Tapon y Sifon Flexible</t>
  </si>
  <si>
    <t>1 1/2"</t>
  </si>
  <si>
    <t>MAT-PSA-0020</t>
  </si>
  <si>
    <t>Llave Manguera Liviana 1/2" Edesa</t>
  </si>
  <si>
    <t>Manguera Liviana</t>
  </si>
  <si>
    <t>MAT-REV-0001</t>
  </si>
  <si>
    <t>Porcelanato Oakmont Rectificado Mate 22x90cm Gris Rialto</t>
  </si>
  <si>
    <t>Revestimientos</t>
  </si>
  <si>
    <t>Porcelanato</t>
  </si>
  <si>
    <t>Rialto</t>
  </si>
  <si>
    <t>Oakmont Rectificado Mate</t>
  </si>
  <si>
    <t>m2</t>
  </si>
  <si>
    <t>22x90cm</t>
  </si>
  <si>
    <t>Gris</t>
  </si>
  <si>
    <t>2024-07-11 00:00:00</t>
  </si>
  <si>
    <t>13.08.2024 BOSQUIRA (1).pdf</t>
  </si>
  <si>
    <t>COT_KERAMIKOS_BOSQUIRA</t>
  </si>
  <si>
    <t>MAT-REV-0002</t>
  </si>
  <si>
    <t>Porcelanato Humo Rectificado Mate 60x60cm Blanco Ecuaceramica</t>
  </si>
  <si>
    <t>Ecuaceramica</t>
  </si>
  <si>
    <t>Humo Rectificado Mate</t>
  </si>
  <si>
    <t>60x60cm</t>
  </si>
  <si>
    <t>MAT-REV-0003</t>
  </si>
  <si>
    <t>Granito San Gabriel 3.06 x 1.87m x 2cm Negro</t>
  </si>
  <si>
    <t>Granito</t>
  </si>
  <si>
    <t>San Gabriel</t>
  </si>
  <si>
    <t>3.06 x 1.87m x 2cm</t>
  </si>
  <si>
    <t>MAT-REV-0004</t>
  </si>
  <si>
    <t>Ceramica Artica Mate 30x60cm Blanco</t>
  </si>
  <si>
    <t>Ceramica</t>
  </si>
  <si>
    <t>Artica Mate</t>
  </si>
  <si>
    <t>30x60cm</t>
  </si>
  <si>
    <t>MAT-ALB-0001</t>
  </si>
  <si>
    <t>Adhesivo Porcelanato 50kg Pegacer</t>
  </si>
  <si>
    <t>Pegacer</t>
  </si>
  <si>
    <t>funda</t>
  </si>
  <si>
    <t>50kg</t>
  </si>
  <si>
    <t>MAT-ALB-0002</t>
  </si>
  <si>
    <t>Adhesivo Ceramica 50kg Pegacer</t>
  </si>
  <si>
    <t>MAT-REV-0005</t>
  </si>
  <si>
    <t>Empore Porcelana 2kg Pegacer</t>
  </si>
  <si>
    <t>Empore</t>
  </si>
  <si>
    <t>Porcelana</t>
  </si>
  <si>
    <t>2kg</t>
  </si>
  <si>
    <t>MAT-REV-0006</t>
  </si>
  <si>
    <t>Espaciador Nivelacion Formato Grande 50u</t>
  </si>
  <si>
    <t>Espaciador</t>
  </si>
  <si>
    <t>Nivelacion Formato Grande</t>
  </si>
  <si>
    <t>50u</t>
  </si>
  <si>
    <t>MAT-REV-0007</t>
  </si>
  <si>
    <t>Cuña Nivelacion Formato Grande 50u</t>
  </si>
  <si>
    <t>Cuña</t>
  </si>
  <si>
    <t>MAT-REV-0008</t>
  </si>
  <si>
    <t>Cruceta Porcelanato y Ceramica 100u</t>
  </si>
  <si>
    <t>Cruceta</t>
  </si>
  <si>
    <t>Porcelanato y Ceramica</t>
  </si>
  <si>
    <t>100u</t>
  </si>
  <si>
    <t>MAT-REV-0009</t>
  </si>
  <si>
    <t>Junta Dilatacion 12mm tira 2.5m</t>
  </si>
  <si>
    <t>Junta</t>
  </si>
  <si>
    <t>Dilatacion</t>
  </si>
  <si>
    <t>tira 2.5m</t>
  </si>
  <si>
    <t>12mm</t>
  </si>
  <si>
    <t>MAT-CIV-0001</t>
  </si>
  <si>
    <t>Hormigon Premezclado f'c=140kg/cm2 Vaciado Directo</t>
  </si>
  <si>
    <t>Civil</t>
  </si>
  <si>
    <t>Hormigon Premezclado</t>
  </si>
  <si>
    <t>Vaciado Directo</t>
  </si>
  <si>
    <t>m3</t>
  </si>
  <si>
    <t>f'c=140kg/cm2</t>
  </si>
  <si>
    <t>STOCKPROYECTO.pdf</t>
  </si>
  <si>
    <t>MAT-CIV-0002</t>
  </si>
  <si>
    <t>Hormigon Premezclado f'c=180kg/cm2 Vaciado Directo</t>
  </si>
  <si>
    <t>f'c=180kg/cm2</t>
  </si>
  <si>
    <t>MAT-CIV-0003</t>
  </si>
  <si>
    <t>Hormigon Premezclado f'c=210kg/cm2 Vaciado Directo</t>
  </si>
  <si>
    <t>f'c=210kg/cm2</t>
  </si>
  <si>
    <t>MAT-CIV-0004</t>
  </si>
  <si>
    <t>Hormigon Premezclado f'c=280kg/cm2 Vaciado Directo</t>
  </si>
  <si>
    <t>f'c=280kg/cm2</t>
  </si>
  <si>
    <t>MAT-CIV-0005</t>
  </si>
  <si>
    <t>Hormigon Premezclado f'c=350kg/cm2 Vaciado Directo</t>
  </si>
  <si>
    <t>f'c=350kg/cm2</t>
  </si>
  <si>
    <t>MAT-CIV-0006</t>
  </si>
  <si>
    <t>Alquiler Bomba Estacionaria</t>
  </si>
  <si>
    <t>Alquiler</t>
  </si>
  <si>
    <t>Bomba Estacionaria</t>
  </si>
  <si>
    <t>MAT-CIV-0007</t>
  </si>
  <si>
    <t>Plastico Negro 2.00m x 90.00m Rollo</t>
  </si>
  <si>
    <t>Plastico</t>
  </si>
  <si>
    <t>Plastico Negro</t>
  </si>
  <si>
    <t>rollo</t>
  </si>
  <si>
    <t>2.00 x 90.00</t>
  </si>
  <si>
    <t>MAT-CIV-0008</t>
  </si>
  <si>
    <t>Geotextil NT 2000</t>
  </si>
  <si>
    <t>Geotextil</t>
  </si>
  <si>
    <t>MAT-CIV-0009</t>
  </si>
  <si>
    <t>Arena Corriente</t>
  </si>
  <si>
    <t>Petreos</t>
  </si>
  <si>
    <t>MAT-CIV-0010</t>
  </si>
  <si>
    <t>Cascajo Mediano</t>
  </si>
  <si>
    <t>ton</t>
  </si>
  <si>
    <t>MAT-CIV-0011</t>
  </si>
  <si>
    <t>Piedra Grava 3/4</t>
  </si>
  <si>
    <t>MAT-CIV-0012</t>
  </si>
  <si>
    <t>Piedra Bola 200-300mm</t>
  </si>
  <si>
    <t>TRN-CIV-0001</t>
  </si>
  <si>
    <t>Transporte Cascajo Mediano</t>
  </si>
  <si>
    <t>Transporte</t>
  </si>
  <si>
    <t>TRN-CIV-0002</t>
  </si>
  <si>
    <t>Transporte Piedra Grava 3/4</t>
  </si>
  <si>
    <t>TRN-CIV-0003</t>
  </si>
  <si>
    <t>Transporte Piedra Bola</t>
  </si>
  <si>
    <t>MAT-CIV-0013</t>
  </si>
  <si>
    <t>Acero de Refuerzo Figurado fy=4200kg/cm2</t>
  </si>
  <si>
    <t>Acero de Refuerzo</t>
  </si>
  <si>
    <t>Figurado</t>
  </si>
  <si>
    <t>kg</t>
  </si>
  <si>
    <t>MAT-CIV-0014</t>
  </si>
  <si>
    <t>Varilla Corrugada fy=4200kg/cm2 D8mm x 12m</t>
  </si>
  <si>
    <t>Varillas</t>
  </si>
  <si>
    <t>Varilla Corrugada</t>
  </si>
  <si>
    <t>12m</t>
  </si>
  <si>
    <t>D8mm</t>
  </si>
  <si>
    <t>MAT-CIV-0015</t>
  </si>
  <si>
    <t>Varilla Corrugada fy=4200kg/cm2 D10mm x 12m</t>
  </si>
  <si>
    <t>D10mm</t>
  </si>
  <si>
    <t>MAT-CIV-0016</t>
  </si>
  <si>
    <t>Varilla Corrugada fy=4200kg/cm2 D12mm x 12m</t>
  </si>
  <si>
    <t>D12mm</t>
  </si>
  <si>
    <t>MAT-CIV-0017</t>
  </si>
  <si>
    <t>Varilla Corrugada fy=4200kg/cm2 D14mm x 12m</t>
  </si>
  <si>
    <t>D14mm</t>
  </si>
  <si>
    <t>MAT-CIV-0018</t>
  </si>
  <si>
    <t>Varilla Corrugada fy=4200kg/cm2 D16mm x 12m</t>
  </si>
  <si>
    <t>D16mm</t>
  </si>
  <si>
    <t>MAT-CIV-0019</t>
  </si>
  <si>
    <t>Varilla Corrugada fy=4200kg/cm2 D18mm x 12m</t>
  </si>
  <si>
    <t>D18mm</t>
  </si>
  <si>
    <t>MAT-CIV-0020</t>
  </si>
  <si>
    <t>Varilla Corrugada fy=4200kg/cm2 D20mm x 12m</t>
  </si>
  <si>
    <t>MAT-CIV-0021</t>
  </si>
  <si>
    <t>Varilla Corrugada fy=4200kg/cm2 D25mm x 12m</t>
  </si>
  <si>
    <t>MAT-CIV-0022</t>
  </si>
  <si>
    <t>Varilla Corrugada fy=4200kg/cm2 D28mm x 12m</t>
  </si>
  <si>
    <t>D28mm</t>
  </si>
  <si>
    <t>MAT-CIV-0023</t>
  </si>
  <si>
    <t>Alambre Galvanizado N14 x kg</t>
  </si>
  <si>
    <t>Alambres</t>
  </si>
  <si>
    <t>Galvanizado</t>
  </si>
  <si>
    <t>N14</t>
  </si>
  <si>
    <t>MAT-CIV-0024</t>
  </si>
  <si>
    <t>Alambre Galvanizado N18 x kg</t>
  </si>
  <si>
    <t>N18</t>
  </si>
  <si>
    <t>MAT-CIV-0025</t>
  </si>
  <si>
    <t>Alambre Recocido Negro N18 x kg</t>
  </si>
  <si>
    <t>Recocido Negro</t>
  </si>
  <si>
    <t>MAT-CIV-0026</t>
  </si>
  <si>
    <t>Clavos para Madera con Cabeza 2" x Caja</t>
  </si>
  <si>
    <t>Clavos</t>
  </si>
  <si>
    <t>Madera con Cabeza</t>
  </si>
  <si>
    <t>MAT-CIV-0027</t>
  </si>
  <si>
    <t>Clavos para Madera con Cabeza 2 1/2" x Caja</t>
  </si>
  <si>
    <t>2 1/2"</t>
  </si>
  <si>
    <t>MAT-CIV-0028</t>
  </si>
  <si>
    <t>Clavo de Acero Corrugado con Cabeza 2 1/2" x Caja</t>
  </si>
  <si>
    <t>Acero Corrugado con Cabeza</t>
  </si>
  <si>
    <t>MAT-CIV-0029</t>
  </si>
  <si>
    <t>Disco de Corte Metal 4 1/2" x 1/16" x 7/8"</t>
  </si>
  <si>
    <t>Discos de Corte</t>
  </si>
  <si>
    <t>Metal</t>
  </si>
  <si>
    <t>4 1/2" x 1/16" x 7/8"</t>
  </si>
  <si>
    <t>MAT-CIV-0030</t>
  </si>
  <si>
    <t>Disco de Corte Metal 7" x 1/16" x 7/8"</t>
  </si>
  <si>
    <t>7" x 1/16" x 7/8"</t>
  </si>
  <si>
    <t>MAT-CIV-0031</t>
  </si>
  <si>
    <t>Cemento GU USO GENERAL 50kg x saco</t>
  </si>
  <si>
    <t>Cemento</t>
  </si>
  <si>
    <t>GU USO GENERAL</t>
  </si>
  <si>
    <t>saco</t>
  </si>
  <si>
    <t>MAT-HID-0084</t>
  </si>
  <si>
    <t>Rejilla Redonda de Ventilacion 50mm</t>
  </si>
  <si>
    <t>Redonda de Ventilacion</t>
  </si>
  <si>
    <t>50mm</t>
  </si>
  <si>
    <t>MAT-CIV-0032</t>
  </si>
  <si>
    <t>Desmoldante DISARMA ECO 20kg balde</t>
  </si>
  <si>
    <t>Encofrados</t>
  </si>
  <si>
    <t>Desmoldante</t>
  </si>
  <si>
    <t>balde</t>
  </si>
  <si>
    <t>20kg</t>
  </si>
  <si>
    <t>MAT-CIV-0033</t>
  </si>
  <si>
    <t>Cuarton 4m x 5 x 5cm Rustico</t>
  </si>
  <si>
    <t>4m x 5 x 5cm</t>
  </si>
  <si>
    <t>MAT-CIV-0034</t>
  </si>
  <si>
    <t>Cuarton 4m x 10 x 10cm Rustico</t>
  </si>
  <si>
    <t>4m x 10 x 10cm</t>
  </si>
  <si>
    <t>MAT-CIV-0035</t>
  </si>
  <si>
    <t>Cuarton 2.4m x 10 x 10cm Rustico</t>
  </si>
  <si>
    <t>2.4m x 10 x 10cm</t>
  </si>
  <si>
    <t>MAT-CIV-0036</t>
  </si>
  <si>
    <t>Tabla de Encofrado 20cm x 4m</t>
  </si>
  <si>
    <t>20cm x 4m</t>
  </si>
  <si>
    <t>MAT-CIV-0037</t>
  </si>
  <si>
    <t>Tablon 400x20x4cm</t>
  </si>
  <si>
    <t>400x20x4cm</t>
  </si>
  <si>
    <t>MAT-CIV-0038</t>
  </si>
  <si>
    <t>Tira de Madera 5cm x 6m rustico</t>
  </si>
  <si>
    <t>5cm x 6m</t>
  </si>
  <si>
    <t>MAT-CIV-0039</t>
  </si>
  <si>
    <t>Cal Blanca 25kg</t>
  </si>
  <si>
    <t>Cal Blanca</t>
  </si>
  <si>
    <t>25kg</t>
  </si>
  <si>
    <t>MAT-CIV-0040</t>
  </si>
  <si>
    <t>Piola tipo Cabo 5/8"</t>
  </si>
  <si>
    <t>Piola tipo Cabo</t>
  </si>
  <si>
    <t>5/8"</t>
  </si>
  <si>
    <t>MAT-CIV-0041</t>
  </si>
  <si>
    <t>Encofrado Metalico para Losa</t>
  </si>
  <si>
    <t>Encofrado metalico para Losa</t>
  </si>
  <si>
    <t>MAT-BKR-0001</t>
  </si>
  <si>
    <t>Mampuesto Estructural CF Maestro</t>
  </si>
  <si>
    <t>Boonker</t>
  </si>
  <si>
    <t>oc 45 BOONKER.pdf</t>
  </si>
  <si>
    <t>STOCKPROYECTO.pdf;OC45_BOONKER_PRECIO_CON_DCTO_10%;oc 45 BOONKER.pdf</t>
  </si>
  <si>
    <t>MAT-BKR-0002</t>
  </si>
  <si>
    <t>Mampuesto Estructural Tabique</t>
  </si>
  <si>
    <t>MAT-BKR-0003</t>
  </si>
  <si>
    <t>Mortero de Nivelacion CF Maestro</t>
  </si>
  <si>
    <t>MAT-BKR-0004</t>
  </si>
  <si>
    <t>Mortero Estructural CF Maestro</t>
  </si>
  <si>
    <t>MAT-BKR-0005</t>
  </si>
  <si>
    <t>Boonker Binder</t>
  </si>
  <si>
    <t>MAT-BKR-0006</t>
  </si>
  <si>
    <t>Dintel CF Maestro</t>
  </si>
  <si>
    <t>MAT-CIV-0042</t>
  </si>
  <si>
    <t>Malla Electrosoldada 2400 x 6250 D6c/10cm</t>
  </si>
  <si>
    <t>Malla</t>
  </si>
  <si>
    <t>Electrosoldada</t>
  </si>
  <si>
    <t>D6c/10cm</t>
  </si>
  <si>
    <t>MAT-CIV-0043</t>
  </si>
  <si>
    <t>Malla Electrosoldada 2400 x 6250 D5.5c/15cm</t>
  </si>
  <si>
    <t>D5.5c/15cm</t>
  </si>
  <si>
    <t>MAT-CIV-0044</t>
  </si>
  <si>
    <t>Malla Electrosoldada 2400 x 6250 D6c/15cm</t>
  </si>
  <si>
    <t>D6c/15cm</t>
  </si>
  <si>
    <t>MAT-CIV-0045</t>
  </si>
  <si>
    <t>Malla Electrosoldada 2400 x 6250 D7c/15cm</t>
  </si>
  <si>
    <t>D7c/15cm</t>
  </si>
  <si>
    <t>MAT-HID-0085</t>
  </si>
  <si>
    <t>Rejilla Cupula 110mm Yetka</t>
  </si>
  <si>
    <t>Cupula</t>
  </si>
  <si>
    <t>110mm</t>
  </si>
  <si>
    <t>MAT-PIN-0001</t>
  </si>
  <si>
    <t>Pintura Latex Supremo Mate 1 galon Blanco Unidas</t>
  </si>
  <si>
    <t>Pintura</t>
  </si>
  <si>
    <t>Unidas</t>
  </si>
  <si>
    <t>Latex Supremo Mate</t>
  </si>
  <si>
    <t>1 galon</t>
  </si>
  <si>
    <t>2026-04-30 00:00:00</t>
  </si>
  <si>
    <t>WEB_PROMART;SKU_12493;PRECIO_WEB</t>
  </si>
  <si>
    <t>MAT-PIN-0002</t>
  </si>
  <si>
    <t>Pintura Latex Supremo Mate 1 galon Marfil Unidas</t>
  </si>
  <si>
    <t>Marfil</t>
  </si>
  <si>
    <t>WEB_PROMART;SKU_12502;PRECIO_WEB</t>
  </si>
  <si>
    <t>MAT-PIN-0003</t>
  </si>
  <si>
    <t>Pintura Latex Supremo Satin Eider White SW7014 o similar 1 galon Pinturas Unidas</t>
  </si>
  <si>
    <t>Pinturas Unidas</t>
  </si>
  <si>
    <t>Supremo Satin</t>
  </si>
  <si>
    <t>Eider White SW7014 o similar</t>
  </si>
  <si>
    <t>WEB_PROMART;SKU_12507;PRECIO_WEB;COLOR_REFERENCIAL_USUARIO_2026-05-06</t>
  </si>
  <si>
    <t>MAT-PIN-0004</t>
  </si>
  <si>
    <t>Pintura Latex Supremo Satin 1 galon Blanco Hueso Unidas</t>
  </si>
  <si>
    <t>Latex Supremo Satin</t>
  </si>
  <si>
    <t>Blanco Hueso</t>
  </si>
  <si>
    <t>WEB_PROMART;SKU_12509;PRECIO_WEB</t>
  </si>
  <si>
    <t>MAT-PIN-0005</t>
  </si>
  <si>
    <t>Pintura Latex Supremo Satin 1 galon Blanco Antiguo Unidas</t>
  </si>
  <si>
    <t>Blanco Antiguo</t>
  </si>
  <si>
    <t>WEB_PROMART;SKU_12504;PRECIO_WEB</t>
  </si>
  <si>
    <t>MAT-PIN-0006</t>
  </si>
  <si>
    <t>Pintura Latex Supremo Elastomerico 1 galon Blanco Unidas</t>
  </si>
  <si>
    <t>Latex Supremo Elastomerico</t>
  </si>
  <si>
    <t>WEB_PROMART;SKU_12491;PRECIO_WEB</t>
  </si>
  <si>
    <t>MAT-PIN-0007</t>
  </si>
  <si>
    <t>Pintura Latex Supremo Elastomerico 1 caneca Blanco Unidas</t>
  </si>
  <si>
    <t>1 caneca</t>
  </si>
  <si>
    <t>WEB_PROMART;SKU_12490;PRECIO_WEB</t>
  </si>
  <si>
    <t>MAT-PIN-0008</t>
  </si>
  <si>
    <t>Pintura Uniteja Exterior 1 galon Espanol Unidas</t>
  </si>
  <si>
    <t>Uniteja Exterior</t>
  </si>
  <si>
    <t>Espanol</t>
  </si>
  <si>
    <t>WEB_PROMART;SKU_12785;PRECIO_WEB</t>
  </si>
  <si>
    <t>MAT-PIN-0009</t>
  </si>
  <si>
    <t>Pintura Uniteja Exterior 1 galon Colonial Unidas</t>
  </si>
  <si>
    <t>Colonial</t>
  </si>
  <si>
    <t>WEB_PROMART;SKU_12784;PRECIO_WEB</t>
  </si>
  <si>
    <t>MAT-PIN-0010</t>
  </si>
  <si>
    <t>Impermeabilizante Unifill Fibra 1000 1 galon Blanco Unidas</t>
  </si>
  <si>
    <t>Impermeabilizante</t>
  </si>
  <si>
    <t>Unifill Fibra 1000</t>
  </si>
  <si>
    <t>WEB_PROMART;SKU_12684;PRECIO_WEB</t>
  </si>
  <si>
    <t>MAT-PIN-0011</t>
  </si>
  <si>
    <t>Empaste Uniempaste Acrilico 1 galon Unidas</t>
  </si>
  <si>
    <t>Empaste</t>
  </si>
  <si>
    <t>Uniempaste Acrilico</t>
  </si>
  <si>
    <t>WEB_PROMART;SKU_12671;PRECIO_WEB</t>
  </si>
  <si>
    <t>MAT-PIN-0012</t>
  </si>
  <si>
    <t>Sellador Acrilico Uniseal 1 galon Unidas</t>
  </si>
  <si>
    <t>Sellador</t>
  </si>
  <si>
    <t>Acrilico Uniseal</t>
  </si>
  <si>
    <t>WEB_PROMART;SKU_12662;PRECIO_WEB</t>
  </si>
  <si>
    <t>MAT-CIV-0046</t>
  </si>
  <si>
    <t>Mezcla asfaltica Caliente 1/2 pulg m3</t>
  </si>
  <si>
    <t>Mezcla asfaltica</t>
  </si>
  <si>
    <t>Caliente</t>
  </si>
  <si>
    <t>1/2 pulg</t>
  </si>
  <si>
    <t>Cotizacion 003-002-0034660 2025-12-12</t>
  </si>
  <si>
    <t>MAT-CIV-0047</t>
  </si>
  <si>
    <t>Asfalto RC-250 1 galon</t>
  </si>
  <si>
    <t>Asfalto</t>
  </si>
  <si>
    <t>RC-250</t>
  </si>
  <si>
    <t>gln</t>
  </si>
  <si>
    <t>APU referencia LICO-MIMG-020-2022 2022-06-02</t>
  </si>
  <si>
    <t>EQP-GEN-0012</t>
  </si>
  <si>
    <t>Camion distribuidor de asfalto h</t>
  </si>
  <si>
    <t>Camion distribuidor de asfalto</t>
  </si>
  <si>
    <t>Distribuidor de asfalto</t>
  </si>
  <si>
    <t>h</t>
  </si>
  <si>
    <t>EQP-GEN-0013</t>
  </si>
  <si>
    <t>Finisher Terminadora de asfalto h</t>
  </si>
  <si>
    <t>Finisher</t>
  </si>
  <si>
    <t>Terminadora de asfalto</t>
  </si>
  <si>
    <t>EQP-GEN-0014</t>
  </si>
  <si>
    <t>Escoba autopropulsada h</t>
  </si>
  <si>
    <t>Escoba autopropulsada</t>
  </si>
  <si>
    <t>Autopropulsada</t>
  </si>
  <si>
    <t>TRN-CIV-0004</t>
  </si>
  <si>
    <t>Transporte mezcla asfaltica e imprimante m3</t>
  </si>
  <si>
    <t>Transporte mezcla asfaltica e imprimante</t>
  </si>
  <si>
    <t>MAT-CIV-0048</t>
  </si>
  <si>
    <t>Entibado metalico Alquiler H2.00m ml</t>
  </si>
  <si>
    <t>Entibado metalico</t>
  </si>
  <si>
    <t>ml</t>
  </si>
  <si>
    <t>H2.00m</t>
  </si>
  <si>
    <t>PU referencial usuario 57.18</t>
  </si>
  <si>
    <t>TRN-CIV-0005</t>
  </si>
  <si>
    <t>Transporte Entibado metalico H2.00m ml</t>
  </si>
  <si>
    <t>MAT-CIV-0049</t>
  </si>
  <si>
    <t>Material importado para relleno compactado m3</t>
  </si>
  <si>
    <t>Material importado</t>
  </si>
  <si>
    <t>GAD Morona APUS 2025 material de mejoramiento petreo</t>
  </si>
  <si>
    <t>FUENTE_WEB_MORONA_APUS_2025;PRECIO_REFERENCIAL_13.14_M3;MATERIAL_MEJORAMIENTO_PETREO</t>
  </si>
  <si>
    <t>TRN-CIV-0006</t>
  </si>
  <si>
    <t>Transporte material importado petreo ton</t>
  </si>
  <si>
    <t>Transporte material importado petreo</t>
  </si>
  <si>
    <t>STOCKPROYECTO.pdf; homologado transporte petreos</t>
  </si>
  <si>
    <t>HOMOLOGADO_DESDE_TRANSPORTE_PETREOS_EXISTENTE</t>
  </si>
  <si>
    <t>EQP-GEN-0015</t>
  </si>
  <si>
    <t>Rodillo compactador 2 ton h</t>
  </si>
  <si>
    <t>Rodillo compactador</t>
  </si>
  <si>
    <t>2 ton</t>
  </si>
  <si>
    <t>Mi Flota Ecuador rodillo compactador 2 toneladas</t>
  </si>
  <si>
    <t>FUENTE_WEB_MI_FLOTA;TARIFA_REFERENCIAL_35_HORA</t>
  </si>
  <si>
    <t>MAT-ALB-0003</t>
  </si>
  <si>
    <t>Impermeabilizante Igol Denso 3kg Sika</t>
  </si>
  <si>
    <t>Albanileria</t>
  </si>
  <si>
    <t>Sika</t>
  </si>
  <si>
    <t>Igol Denso</t>
  </si>
  <si>
    <t>3kg</t>
  </si>
  <si>
    <t>Asfaltico</t>
  </si>
  <si>
    <t>web Demaco Ecuador</t>
  </si>
  <si>
    <t>WEB_DEMACO;SI107268;PRECIO_WEB;SIKA_MANUAL_3KG_3M2_DOS_MANOS</t>
  </si>
  <si>
    <t>MAT-ALB-0004</t>
  </si>
  <si>
    <t>Imprimante Igol Imprimante 3kg Sika</t>
  </si>
  <si>
    <t>Imprimante</t>
  </si>
  <si>
    <t>Igol Imprimante</t>
  </si>
  <si>
    <t>web Promart Ecuador</t>
  </si>
  <si>
    <t>WEB_PROMART;SKU_26112;PRECIO_WEB_INCLUYE_IVA;SIKA_CONSUMO_100_200_G_M2</t>
  </si>
  <si>
    <t>MAT-CIV-0050</t>
  </si>
  <si>
    <t>Junta PVC Waterstop 15cm ml</t>
  </si>
  <si>
    <t>Junta PVC</t>
  </si>
  <si>
    <t>Waterstop</t>
  </si>
  <si>
    <t>15cm</t>
  </si>
  <si>
    <t>web Ferrekret Ecuador waterstop PVC</t>
  </si>
  <si>
    <t>WEB_FERREKRET;SKU_0011;PRECIO_12.60_ML;JUNTA_PVC_WATERSTOP_15CM</t>
  </si>
  <si>
    <t>MAT-CIV-0051</t>
  </si>
  <si>
    <t>Aditivo plastificante acelerante hormigon 2kg Aditec</t>
  </si>
  <si>
    <t>Aditivo</t>
  </si>
  <si>
    <t>Aditec</t>
  </si>
  <si>
    <t>FA-111 Plastificante Acelerante</t>
  </si>
  <si>
    <t>WEB_PROMART;SKU_24878;PRECIO_WEB_INCLUYE_IVA;ADITIVO_ACELERANTE_HORMIGON</t>
  </si>
  <si>
    <t>MAT-ELE-0049</t>
  </si>
  <si>
    <t>Panel Monofasico 16-32 espacios</t>
  </si>
  <si>
    <t>Ppto Villa Olivo B.xlsm:RECURSOS</t>
  </si>
  <si>
    <t>SOURCE_CODE=ELE-1;IMPORTADO_XLSM</t>
  </si>
  <si>
    <t>MAT-ELE-0050</t>
  </si>
  <si>
    <t>Tubo Conduit Pesado 1"x3.00m</t>
  </si>
  <si>
    <t>SOURCE_CODE=ELE-10;IMPORTADO_XLSM</t>
  </si>
  <si>
    <t>MAT-ELE-0051</t>
  </si>
  <si>
    <t>Tubo Conduit Pesado 3/4"x3.00m</t>
  </si>
  <si>
    <t>3/4pulg</t>
  </si>
  <si>
    <t>SOURCE_CODE=ELE-11;IMPORTADO_XLSM</t>
  </si>
  <si>
    <t>MAT-ELE-0052</t>
  </si>
  <si>
    <t>Tubo Conduit Pesado 1 1/4"x3.00m</t>
  </si>
  <si>
    <t>1/4pulg</t>
  </si>
  <si>
    <t>SOURCE_CODE=ELE-12;IMPORTADO_XLSM</t>
  </si>
  <si>
    <t>MAT-ELE-0053</t>
  </si>
  <si>
    <t>Tubo Conduit Pesado 2"x3.00m</t>
  </si>
  <si>
    <t>SOURCE_CODE=ELE-13;IMPORTADO_XLSM</t>
  </si>
  <si>
    <t>MAT-ELE-0054</t>
  </si>
  <si>
    <t>Codo Conduit PVC 1/2"</t>
  </si>
  <si>
    <t>1/2pulg</t>
  </si>
  <si>
    <t>SOURCE_CODE=ELE-14;IMPORTADO_XLSM</t>
  </si>
  <si>
    <t>MAT-ELE-0055</t>
  </si>
  <si>
    <t>Codo Conduit PVC 3/4"</t>
  </si>
  <si>
    <t>SOURCE_CODE=ELE-15;IMPORTADO_XLSM</t>
  </si>
  <si>
    <t>MAT-ELE-0056</t>
  </si>
  <si>
    <t>Codo Conduit PVC 1 1/4"</t>
  </si>
  <si>
    <t>SOURCE_CODE=ELE-16;IMPORTADO_XLSM</t>
  </si>
  <si>
    <t>MAT-ELE-0057</t>
  </si>
  <si>
    <t>Codo Conduit PVC 1"</t>
  </si>
  <si>
    <t>SOURCE_CODE=ELE-17;IMPORTADO_XLSM</t>
  </si>
  <si>
    <t>MAT-ELE-0058</t>
  </si>
  <si>
    <t>Codo Conduit PVC 2"</t>
  </si>
  <si>
    <t>SOURCE_CODE=ELE-18;IMPORTADO_XLSM</t>
  </si>
  <si>
    <t>MAT-ELE-0059</t>
  </si>
  <si>
    <t>Conector Conduit PVC 1/2"</t>
  </si>
  <si>
    <t>SOURCE_CODE=ELE-19;IMPORTADO_XLSM</t>
  </si>
  <si>
    <t>MAT-ELE-0060</t>
  </si>
  <si>
    <t>Caja Electrica PVC 20x20cm C/TAPA</t>
  </si>
  <si>
    <t>20x20cm</t>
  </si>
  <si>
    <t>SOURCE_CODE=ELE-2;IMPORTADO_XLSM</t>
  </si>
  <si>
    <t>MAT-ELE-0061</t>
  </si>
  <si>
    <t>Conector Conduit PVC 3/4"</t>
  </si>
  <si>
    <t>SOURCE_CODE=ELE-20;IMPORTADO_XLSM</t>
  </si>
  <si>
    <t>MAT-ELE-0062</t>
  </si>
  <si>
    <t>Conector Conduit PVC 1 1/4"</t>
  </si>
  <si>
    <t>SOURCE_CODE=ELE-21;IMPORTADO_XLSM</t>
  </si>
  <si>
    <t>MAT-ELE-0063</t>
  </si>
  <si>
    <t>Conector Conduit PVC 1"</t>
  </si>
  <si>
    <t>SOURCE_CODE=ELE-22;IMPORTADO_XLSM</t>
  </si>
  <si>
    <t>MAT-ELE-0064</t>
  </si>
  <si>
    <t>Conector Conduit PVC 2"</t>
  </si>
  <si>
    <t>SOURCE_CODE=ELE-23;IMPORTADO_XLSM</t>
  </si>
  <si>
    <t>MAT-ELE-0065</t>
  </si>
  <si>
    <t>Tomacorriente Pata de Gallina 50A con placa empotrable para Cocinas de Induccion</t>
  </si>
  <si>
    <t>50A</t>
  </si>
  <si>
    <t>SOURCE_CODE=ELE-24;IMPORTADO_XLSM</t>
  </si>
  <si>
    <t>MAT-ELE-0066</t>
  </si>
  <si>
    <t>Taipe Electrico 19mm 10Y</t>
  </si>
  <si>
    <t>Taipe</t>
  </si>
  <si>
    <t>SOURCE_CODE=ELE-25;IMPORTADO_XLSM</t>
  </si>
  <si>
    <t>MAT-ELE-0067</t>
  </si>
  <si>
    <t>Toma de Datos</t>
  </si>
  <si>
    <t>Toma</t>
  </si>
  <si>
    <t>SOURCE_CODE=ELE-26;IMPORTADO_XLSM</t>
  </si>
  <si>
    <t>MAT-ELE-0068</t>
  </si>
  <si>
    <t>Tomacorriente Doble 2P+T 15A color blanco, linea luzica</t>
  </si>
  <si>
    <t>SOURCE_CODE=ELE-27;IMPORTADO_XLSM</t>
  </si>
  <si>
    <t>MAT-ELE-0069</t>
  </si>
  <si>
    <t>Placa Duplex policarbonato para Interperie, linea standard</t>
  </si>
  <si>
    <t>SOURCE_CODE=ELE-28;IMPORTADO_XLSM</t>
  </si>
  <si>
    <t>MAT-ELE-0070</t>
  </si>
  <si>
    <t>Tomacorriente Tandem 250V 15A luzica</t>
  </si>
  <si>
    <t>SOURCE_CODE=ELE-29;IMPORTADO_XLSM</t>
  </si>
  <si>
    <t>MAT-ELE-0071</t>
  </si>
  <si>
    <t>Cable Concentrico 2x12 THHN/THWN</t>
  </si>
  <si>
    <t>2x12</t>
  </si>
  <si>
    <t>SOURCE_CODE=ELE-3;IMPORTADO_XLSM</t>
  </si>
  <si>
    <t>MAT-ELE-0072</t>
  </si>
  <si>
    <t>Interruptor Conmutador Simple No Neon</t>
  </si>
  <si>
    <t>SOURCE_CODE=ELE-30;IMPORTADO_XLSM</t>
  </si>
  <si>
    <t>MAT-ELE-0073</t>
  </si>
  <si>
    <t>Interruptor Triple Balancin ancho sin luz piloto 10A 125V-250V AC</t>
  </si>
  <si>
    <t>10A</t>
  </si>
  <si>
    <t>SOURCE_CODE=ELE-31;IMPORTADO_XLSM</t>
  </si>
  <si>
    <t>MAT-ELE-0074</t>
  </si>
  <si>
    <t>Interruptor Doble sin neon</t>
  </si>
  <si>
    <t>SOURCE_CODE=ELE-32;IMPORTADO_XLSM</t>
  </si>
  <si>
    <t>MAT-ELE-0075</t>
  </si>
  <si>
    <t>Interruptor Simple sin neon</t>
  </si>
  <si>
    <t>SOURCE_CODE=ELE-33;IMPORTADO_XLSM</t>
  </si>
  <si>
    <t>MAT-ELE-0076</t>
  </si>
  <si>
    <t>Cable 7 hilos #6 THHN negro</t>
  </si>
  <si>
    <t>#6</t>
  </si>
  <si>
    <t>SOURCE_CODE=ELE-34;IMPORTADO_XLSM</t>
  </si>
  <si>
    <t>MAT-ELE-0077</t>
  </si>
  <si>
    <t>Cable 7 hilos #8 THHN negro</t>
  </si>
  <si>
    <t>#8</t>
  </si>
  <si>
    <t>SOURCE_CODE=ELE-35;IMPORTADO_XLSM</t>
  </si>
  <si>
    <t>MAT-ELE-0078</t>
  </si>
  <si>
    <t>Breaker Panel 1P-20A</t>
  </si>
  <si>
    <t>20A;1P-20A</t>
  </si>
  <si>
    <t>SOURCE_CODE=ELE-36;IMPORTADO_XLSM</t>
  </si>
  <si>
    <t>MAT-ELE-0079</t>
  </si>
  <si>
    <t>Breaker Panel 2P-30A</t>
  </si>
  <si>
    <t>30A;2P-30A</t>
  </si>
  <si>
    <t>SOURCE_CODE=ELE-37;IMPORTADO_XLSM</t>
  </si>
  <si>
    <t>MAT-ELE-0080</t>
  </si>
  <si>
    <t>Breaker Panel 2P-20A</t>
  </si>
  <si>
    <t>20A;2P-20A</t>
  </si>
  <si>
    <t>SOURCE_CODE=ELE-38;IMPORTADO_XLSM</t>
  </si>
  <si>
    <t>MAT-ELE-0081</t>
  </si>
  <si>
    <t>Cable Solido TW AWG #10 x50m</t>
  </si>
  <si>
    <t>10x50m;#10</t>
  </si>
  <si>
    <t>SOURCE_CODE=ELE-39;IMPORTADO_XLSM</t>
  </si>
  <si>
    <t>MAT-ELE-0082</t>
  </si>
  <si>
    <t>Cable Concentrico 2x14 THHN/THWN</t>
  </si>
  <si>
    <t>2x14</t>
  </si>
  <si>
    <t>SOURCE_CODE=ELE-4;IMPORTADO_XLSM</t>
  </si>
  <si>
    <t>MAT-ELE-0083</t>
  </si>
  <si>
    <t>Varilla Cobre 5/8" x 1.80m Alta Camada</t>
  </si>
  <si>
    <t>5/8pulg</t>
  </si>
  <si>
    <t>SOURCE_CODE=ELE-40;IMPORTADO_XLSM</t>
  </si>
  <si>
    <t>MAT-ELE-0084</t>
  </si>
  <si>
    <t>Conector p/varilla Copperweld 5/8</t>
  </si>
  <si>
    <t>SOURCE_CODE=ELE-41;IMPORTADO_XLSM</t>
  </si>
  <si>
    <t>MAT-ELE-0085</t>
  </si>
  <si>
    <t>Caja Ortogonall 9x9x4cm</t>
  </si>
  <si>
    <t>9x9x4cm</t>
  </si>
  <si>
    <t>SOURCE_CODE=ELE-42;IMPORTADO_XLSM</t>
  </si>
  <si>
    <t>MAT-ELE-0086</t>
  </si>
  <si>
    <t>Breaker Tipo Riel Din 2P 40A 220V</t>
  </si>
  <si>
    <t>Breaker</t>
  </si>
  <si>
    <t>40A</t>
  </si>
  <si>
    <t>SOURCE_CODE=ELE-43;IMPORTADO_XLSM</t>
  </si>
  <si>
    <t>MAT-ELE-0087</t>
  </si>
  <si>
    <t>Base Socket Medidor Clase 100 sin panel 1 1/4" 100A 1F TW</t>
  </si>
  <si>
    <t>1/4pulg;100A</t>
  </si>
  <si>
    <t>SOURCE_CODE=ELE-44;IMPORTADO_XLSM</t>
  </si>
  <si>
    <t>MAT-ELE-0088</t>
  </si>
  <si>
    <t>Panel Medidor</t>
  </si>
  <si>
    <t>SOURCE_CODE=ELE-45;IMPORTADO_XLSM</t>
  </si>
  <si>
    <t>MAT-ELE-0089</t>
  </si>
  <si>
    <t>Cable Concentrico 2x10 THHN/THWN</t>
  </si>
  <si>
    <t>2x10</t>
  </si>
  <si>
    <t>SOURCE_CODE=ELE-5;IMPORTADO_XLSM</t>
  </si>
  <si>
    <t>MAT-ELE-0090</t>
  </si>
  <si>
    <t>Cable Flexible 14 THHN</t>
  </si>
  <si>
    <t>SOURCE_CODE=ELE-6;IMPORTADO_XLSM</t>
  </si>
  <si>
    <t>MAT-ELE-0091</t>
  </si>
  <si>
    <t>Cable Flexible 12 THHN</t>
  </si>
  <si>
    <t>SOURCE_CODE=ELE-7;IMPORTADO_XLSM</t>
  </si>
  <si>
    <t>MAT-ELE-0092</t>
  </si>
  <si>
    <t>Cajetin PVC Rectangular 4.6x11x5.7</t>
  </si>
  <si>
    <t>Cajetin</t>
  </si>
  <si>
    <t>4.6x11x5.7</t>
  </si>
  <si>
    <t>SOURCE_CODE=ELE-8;IMPORTADO_XLSM</t>
  </si>
  <si>
    <t>MAT-ELE-0093</t>
  </si>
  <si>
    <t>Tubo Conduit Pesado 1/2"x3.00m</t>
  </si>
  <si>
    <t>SOURCE_CODE=ELE-9;IMPORTADO_XLSM</t>
  </si>
  <si>
    <t>MAT-HID-0086</t>
  </si>
  <si>
    <t>Tuberia PPR D32mm x 6.00m</t>
  </si>
  <si>
    <t>D32mm;32mm</t>
  </si>
  <si>
    <t>SOURCE_CODE=HSI-1;IMPORTADO_XLSM</t>
  </si>
  <si>
    <t>MAT-HID-0087</t>
  </si>
  <si>
    <t>Reductor PPR 25mmx20mm</t>
  </si>
  <si>
    <t>25mm;20mm</t>
  </si>
  <si>
    <t>SOURCE_CODE=HSI-10;IMPORTADO_XLSM</t>
  </si>
  <si>
    <t>MAT-HID-0088</t>
  </si>
  <si>
    <t>Union PPR 25mm</t>
  </si>
  <si>
    <t>25mm</t>
  </si>
  <si>
    <t>SOURCE_CODE=HSI-11;IMPORTADO_XLSM</t>
  </si>
  <si>
    <t>MAT-HID-0089</t>
  </si>
  <si>
    <t>Tuberia PPR D20mm x 6.00m</t>
  </si>
  <si>
    <t>D20mm;20mm</t>
  </si>
  <si>
    <t>SOURCE_CODE=HSI-12;IMPORTADO_XLSM</t>
  </si>
  <si>
    <t>MAT-HID-0090</t>
  </si>
  <si>
    <t>Codo PPR 90x20mm</t>
  </si>
  <si>
    <t>20mm;90x20m</t>
  </si>
  <si>
    <t>SOURCE_CODE=HSI-13;IMPORTADO_XLSM</t>
  </si>
  <si>
    <t>MAT-HID-0091</t>
  </si>
  <si>
    <t>Tee PPR 20mm</t>
  </si>
  <si>
    <t>20mm</t>
  </si>
  <si>
    <t>SOURCE_CODE=HSI-14;IMPORTADO_XLSM</t>
  </si>
  <si>
    <t>MAT-HID-0092</t>
  </si>
  <si>
    <t>Codo PPR 45x20mm</t>
  </si>
  <si>
    <t>20mm;45x20m</t>
  </si>
  <si>
    <t>SOURCE_CODE=HSI-15;IMPORTADO_XLSM</t>
  </si>
  <si>
    <t>MAT-HID-0093</t>
  </si>
  <si>
    <t>Codo PPR 90 Inserto Hembra 20mmx1/2"</t>
  </si>
  <si>
    <t>20mm;1/2pulg</t>
  </si>
  <si>
    <t>SOURCE_CODE=HSI-16;IMPORTADO_XLSM</t>
  </si>
  <si>
    <t>MAT-HID-0094</t>
  </si>
  <si>
    <t>Adaptador Inserto Macho PPR 20mmx1/2"</t>
  </si>
  <si>
    <t>SOURCE_CODE=HSI-17;IMPORTADO_XLSM</t>
  </si>
  <si>
    <t>MAT-HID-0095</t>
  </si>
  <si>
    <t>Adaptador Inserto Hembra PPR 20mmx1/2"</t>
  </si>
  <si>
    <t>SOURCE_CODE=HSI-18;IMPORTADO_XLSM</t>
  </si>
  <si>
    <t>MAT-HID-0096</t>
  </si>
  <si>
    <t>Llave de Paso galleta roja PPR 20mm</t>
  </si>
  <si>
    <t>SOURCE_CODE=HSI-19;IMPORTADO_XLSM</t>
  </si>
  <si>
    <t>MAT-HID-0097</t>
  </si>
  <si>
    <t>Codo PPR 90x32mm</t>
  </si>
  <si>
    <t>32mm;90x32m</t>
  </si>
  <si>
    <t>SOURCE_CODE=HSI-2;IMPORTADO_XLSM</t>
  </si>
  <si>
    <t>MAT-HID-0098</t>
  </si>
  <si>
    <t>Union PPR 20mm</t>
  </si>
  <si>
    <t>SOURCE_CODE=HSI-20;IMPORTADO_XLSM</t>
  </si>
  <si>
    <t>MAT-HID-0099</t>
  </si>
  <si>
    <t>Codo PPR 90 Inserto Macho 20mmx1/2"</t>
  </si>
  <si>
    <t>SOURCE_CODE=HSI-21;IMPORTADO_XLSM</t>
  </si>
  <si>
    <t>MAT-HID-0100</t>
  </si>
  <si>
    <t>Llave de Manguera 1/2" liviana</t>
  </si>
  <si>
    <t>SOURCE_CODE=HSI-22;IMPORTADO_XLSM</t>
  </si>
  <si>
    <t>MAT-HID-0101</t>
  </si>
  <si>
    <t>Tuberia PVC D110mm x 3.00m</t>
  </si>
  <si>
    <t>D110mm;110mm</t>
  </si>
  <si>
    <t>SOURCE_CODE=HSI-23;IMPORTADO_XLSM</t>
  </si>
  <si>
    <t>MAT-HID-0102</t>
  </si>
  <si>
    <t>Codo PVC 90x110mm</t>
  </si>
  <si>
    <t>110mm;90x110m</t>
  </si>
  <si>
    <t>SOURCE_CODE=HSI-24;IMPORTADO_XLSM</t>
  </si>
  <si>
    <t>MAT-HID-0103</t>
  </si>
  <si>
    <t>Codo PVC 45x110mm</t>
  </si>
  <si>
    <t>110mm;45x110m</t>
  </si>
  <si>
    <t>SOURCE_CODE=HSI-25;IMPORTADO_XLSM</t>
  </si>
  <si>
    <t>MAT-HID-0104</t>
  </si>
  <si>
    <t>Yee Reductor PVC 110mmx50mm</t>
  </si>
  <si>
    <t>110mm;50mm</t>
  </si>
  <si>
    <t>SOURCE_CODE=HSI-26;IMPORTADO_XLSM</t>
  </si>
  <si>
    <t>MAT-HID-0105</t>
  </si>
  <si>
    <t>Yee PVC 110mm</t>
  </si>
  <si>
    <t>SOURCE_CODE=HSI-27;IMPORTADO_XLSM</t>
  </si>
  <si>
    <t>MAT-HID-0106</t>
  </si>
  <si>
    <t>Tuberia PVC D75mm x 3.00m</t>
  </si>
  <si>
    <t>D75mm;75mm</t>
  </si>
  <si>
    <t>SOURCE_CODE=HSI-28;IMPORTADO_XLSM</t>
  </si>
  <si>
    <t>MAT-HID-0107</t>
  </si>
  <si>
    <t>Codo PVC 90x75mm</t>
  </si>
  <si>
    <t>75mm;90x75m</t>
  </si>
  <si>
    <t>SOURCE_CODE=HSI-29;IMPORTADO_XLSM</t>
  </si>
  <si>
    <t>MAT-HID-0108</t>
  </si>
  <si>
    <t>Tee Reductor PPR 32mmx20mm</t>
  </si>
  <si>
    <t>32mm;20mm</t>
  </si>
  <si>
    <t>SOURCE_CODE=HSI-3;IMPORTADO_XLSM</t>
  </si>
  <si>
    <t>MAT-HID-0109</t>
  </si>
  <si>
    <t>Codo PVC 45x75mm</t>
  </si>
  <si>
    <t>75mm;45x75m</t>
  </si>
  <si>
    <t>SOURCE_CODE=HSI-30;IMPORTADO_XLSM</t>
  </si>
  <si>
    <t>MAT-HID-0110</t>
  </si>
  <si>
    <t>Reductor PVC 75mmx50mm</t>
  </si>
  <si>
    <t>75mm;50mm</t>
  </si>
  <si>
    <t>SOURCE_CODE=HSI-31;IMPORTADO_XLSM</t>
  </si>
  <si>
    <t>MAT-HID-0111</t>
  </si>
  <si>
    <t>Tuberia PVC D50mm x 3.00m</t>
  </si>
  <si>
    <t>D50mm;50mm</t>
  </si>
  <si>
    <t>SOURCE_CODE=HSI-32;IMPORTADO_XLSM</t>
  </si>
  <si>
    <t>MAT-HID-0112</t>
  </si>
  <si>
    <t>Codo PVC 90x50mm</t>
  </si>
  <si>
    <t>50mm;90x50m</t>
  </si>
  <si>
    <t>SOURCE_CODE=HSI-33;IMPORTADO_XLSM</t>
  </si>
  <si>
    <t>MAT-HID-0113</t>
  </si>
  <si>
    <t>Codo PVC 45x50mm</t>
  </si>
  <si>
    <t>50mm;45x50m</t>
  </si>
  <si>
    <t>SOURCE_CODE=HSI-34;IMPORTADO_XLSM</t>
  </si>
  <si>
    <t>MAT-HID-0114</t>
  </si>
  <si>
    <t>Yee PVC 50mm</t>
  </si>
  <si>
    <t>SOURCE_CODE=HSI-35;IMPORTADO_XLSM</t>
  </si>
  <si>
    <t>MAT-HID-0115</t>
  </si>
  <si>
    <t>Sifon PVC 50mm</t>
  </si>
  <si>
    <t>SOURCE_CODE=HSI-36;IMPORTADO_XLSM</t>
  </si>
  <si>
    <t>MAT-HID-0116</t>
  </si>
  <si>
    <t>Sifon PVC 75mm</t>
  </si>
  <si>
    <t>75mm</t>
  </si>
  <si>
    <t>SOURCE_CODE=HSI-37;IMPORTADO_XLSM</t>
  </si>
  <si>
    <t>MAT-HID-0117</t>
  </si>
  <si>
    <t>Rejilla Ventilacion PVC 50mm</t>
  </si>
  <si>
    <t>SOURCE_CODE=HSI-38;IMPORTADO_XLSM</t>
  </si>
  <si>
    <t>MAT-HID-0118</t>
  </si>
  <si>
    <t>Yee Reductor PVC 75mmx50mm</t>
  </si>
  <si>
    <t>SOURCE_CODE=HSI-39;IMPORTADO_XLSM</t>
  </si>
  <si>
    <t>MAT-HID-0119</t>
  </si>
  <si>
    <t>Tee Reductor PPR 32mmx25mm</t>
  </si>
  <si>
    <t>32mm;25mm</t>
  </si>
  <si>
    <t>SOURCE_CODE=HSI-4;IMPORTADO_XLSM</t>
  </si>
  <si>
    <t>MAT-HID-0120</t>
  </si>
  <si>
    <t>Yee Reductor PVC 110mmx75mm</t>
  </si>
  <si>
    <t>110mm;75mm</t>
  </si>
  <si>
    <t>SOURCE_CODE=HSI-40;IMPORTADO_XLSM</t>
  </si>
  <si>
    <t>MAT-HID-0121</t>
  </si>
  <si>
    <t>Tuberia PVC PRESION pegable D50mm x 6.00m</t>
  </si>
  <si>
    <t>SOURCE_CODE=HSI-41;IMPORTADO_XLSM</t>
  </si>
  <si>
    <t>MAT-HID-0122</t>
  </si>
  <si>
    <t>Tuberia PVC PRESION pegable D25mm x 6.00m</t>
  </si>
  <si>
    <t>D25mm;25mm</t>
  </si>
  <si>
    <t>SOURCE_CODE=HSI-42;IMPORTADO_XLSM</t>
  </si>
  <si>
    <t>MAT-HID-0123</t>
  </si>
  <si>
    <t>Codo PVC PRESION pegable 90x25mm</t>
  </si>
  <si>
    <t>25mm;90x25m</t>
  </si>
  <si>
    <t>SOURCE_CODE=HSI-43;IMPORTADO_XLSM</t>
  </si>
  <si>
    <t>MAT-HID-0124</t>
  </si>
  <si>
    <t>Codo PVC PRESION pegable 45x25mm</t>
  </si>
  <si>
    <t>25mm;45x25m</t>
  </si>
  <si>
    <t>SOURCE_CODE=HSI-44;IMPORTADO_XLSM</t>
  </si>
  <si>
    <t>MAT-HID-0125</t>
  </si>
  <si>
    <t>Tee PVC PRESION pegable 25mm</t>
  </si>
  <si>
    <t>SOURCE_CODE=HSI-45;IMPORTADO_XLSM</t>
  </si>
  <si>
    <t>MAT-HID-0126</t>
  </si>
  <si>
    <t>Reductor PVC PRESION pegable 50mmx25mm</t>
  </si>
  <si>
    <t>50mm;25mm</t>
  </si>
  <si>
    <t>SOURCE_CODE=HSI-46;IMPORTADO_XLSM</t>
  </si>
  <si>
    <t>MAT-HID-0127</t>
  </si>
  <si>
    <t>Yee PVC PRESION pegable 25mm</t>
  </si>
  <si>
    <t>SOURCE_CODE=HSI-47;IMPORTADO_XLSM</t>
  </si>
  <si>
    <t>MAT-HID-0128</t>
  </si>
  <si>
    <t>Union PVC PRESION pegable 25mm</t>
  </si>
  <si>
    <t>SOURCE_CODE=HSI-48;IMPORTADO_XLSM</t>
  </si>
  <si>
    <t>MAT-HID-0129</t>
  </si>
  <si>
    <t>Rejilla Cupula 110mm</t>
  </si>
  <si>
    <t>SOURCE_CODE=HSI-49;IMPORTADO_XLSM</t>
  </si>
  <si>
    <t>MAT-HID-0130</t>
  </si>
  <si>
    <t>Reductor PPR 32mmx20mm</t>
  </si>
  <si>
    <t>SOURCE_CODE=HSI-5;IMPORTADO_XLSM</t>
  </si>
  <si>
    <t>MAT-HID-0131</t>
  </si>
  <si>
    <t>Rejilla de Desague 75mm</t>
  </si>
  <si>
    <t>SOURCE_CODE=HSI-50;IMPORTADO_XLSM</t>
  </si>
  <si>
    <t>MAT-HID-0132</t>
  </si>
  <si>
    <t>Tuberia Gas 19mm</t>
  </si>
  <si>
    <t>SOURCE_CODE=HSI-51;IMPORTADO_XLSM</t>
  </si>
  <si>
    <t>MAT-HID-0133</t>
  </si>
  <si>
    <t>Codo Gas 90x19mm</t>
  </si>
  <si>
    <t>19mm;90x19m</t>
  </si>
  <si>
    <t>SOURCE_CODE=HSI-52;IMPORTADO_XLSM</t>
  </si>
  <si>
    <t>MAT-HID-0134</t>
  </si>
  <si>
    <t>Cinta Teflon amarillo 3/4" x 15m</t>
  </si>
  <si>
    <t>SOURCE_CODE=HSI-53;IMPORTADO_XLSM</t>
  </si>
  <si>
    <t>MAT-HID-0135</t>
  </si>
  <si>
    <t>Kalipega 500cc</t>
  </si>
  <si>
    <t>Kalipega</t>
  </si>
  <si>
    <t>SOURCE_CODE=HSI-54;IMPORTADO_XLSM</t>
  </si>
  <si>
    <t>MAT-HID-0136</t>
  </si>
  <si>
    <t>Polilimpia Galon</t>
  </si>
  <si>
    <t>Polilimpia</t>
  </si>
  <si>
    <t>SOURCE_CODE=HSI-55;IMPORTADO_XLSM</t>
  </si>
  <si>
    <t>MOB-HID-0001</t>
  </si>
  <si>
    <t>SOURCE_CODE=HSI-56;IMPORTADO_XLSM</t>
  </si>
  <si>
    <t>MOB-HID-0002</t>
  </si>
  <si>
    <t>Oficial Plomero</t>
  </si>
  <si>
    <t>Oficial</t>
  </si>
  <si>
    <t>SOURCE_CODE=HSI-57;IMPORTADO_XLSM</t>
  </si>
  <si>
    <t>MAT-HID-0137</t>
  </si>
  <si>
    <t>Adaptador Macho PPR 32mmx1/2"</t>
  </si>
  <si>
    <t>32mm;1/2pulg</t>
  </si>
  <si>
    <t>SOURCE_CODE=HSI-6;IMPORTADO_XLSM</t>
  </si>
  <si>
    <t>MAT-HID-0138</t>
  </si>
  <si>
    <t>Tuberia PPR D25mm x 6.00m</t>
  </si>
  <si>
    <t>SOURCE_CODE=HSI-7;IMPORTADO_XLSM</t>
  </si>
  <si>
    <t>MAT-HID-0139</t>
  </si>
  <si>
    <t>Codo PPR 90x25mm</t>
  </si>
  <si>
    <t>SOURCE_CODE=HSI-8;IMPORTADO_XLSM</t>
  </si>
  <si>
    <t>MAT-HID-0140</t>
  </si>
  <si>
    <t>Tee PPR 25mm</t>
  </si>
  <si>
    <t>SOURCE_CODE=HSI-9;IMPORTADO_XLSM</t>
  </si>
  <si>
    <t>MOB-CIV-0001</t>
  </si>
  <si>
    <t>Oficial Civil</t>
  </si>
  <si>
    <t>SOURCE_CODE=OBC-1;IMPORTADO_XLSM</t>
  </si>
  <si>
    <t>EQP-CIV-0001</t>
  </si>
  <si>
    <t>Amoladora (Alquiler)</t>
  </si>
  <si>
    <t>Amoladora</t>
  </si>
  <si>
    <t>SOURCE_CODE=OBC-2;IMPORTADO_XLSM</t>
  </si>
  <si>
    <t>MAT-CIV-0052</t>
  </si>
  <si>
    <t>Disco Corte Metal 7"x1/4"x7/8"</t>
  </si>
  <si>
    <t>Disco</t>
  </si>
  <si>
    <t>1/4pulg;7/8pulg</t>
  </si>
  <si>
    <t>SOURCE_CODE=OBC-3;IMPORTADO_XLSM</t>
  </si>
  <si>
    <t>MAT-CIV-0053</t>
  </si>
  <si>
    <t>Arena</t>
  </si>
  <si>
    <t>SOURCE_CODE=OBC-4;IMPORTADO_XLSM</t>
  </si>
  <si>
    <t>MAT-CIV-0054</t>
  </si>
  <si>
    <t>Cemento GU General 50kg</t>
  </si>
  <si>
    <t>SOURCE_CODE=OBC-5;IMPORTADO_XLSM</t>
  </si>
  <si>
    <t>MAT-CIV-0055</t>
  </si>
  <si>
    <t>Agua Tanquero</t>
  </si>
  <si>
    <t>Agua</t>
  </si>
  <si>
    <t>SOURCE_CODE=OBC-6;IMPORTADO_XLSM</t>
  </si>
  <si>
    <t>MAT-CIV-0056</t>
  </si>
  <si>
    <t>Caja de H.S. 60x40x30 con Tapa Metalica para Medidor de AAPP</t>
  </si>
  <si>
    <t>60x40x30</t>
  </si>
  <si>
    <t>USUARIO_2026-05-15</t>
  </si>
  <si>
    <t>SIN_COSTO_EN_XLSM;REQUIERE_COTIZACION;PRECIO_USUARIO_APU_COMPLETO_2026-05-15</t>
  </si>
  <si>
    <t>MAT-CIV-0057</t>
  </si>
  <si>
    <t>Cajas de H.S. con Tapa de Hormigon 40x40, incluye marco y contramarco</t>
  </si>
  <si>
    <t>Cajas</t>
  </si>
  <si>
    <t>40x40</t>
  </si>
  <si>
    <t>MAT-ALB-0005</t>
  </si>
  <si>
    <t>Servicio de Tumbado de Gypsum STD</t>
  </si>
  <si>
    <t>Servicio</t>
  </si>
  <si>
    <t>Gypsum integral</t>
  </si>
  <si>
    <t>2026-05-06</t>
  </si>
  <si>
    <t>Usuario 2026-05-06 servicio gypsum integral</t>
  </si>
  <si>
    <t>SERVICIO_INTEGRAL;INCLUYE_MATERIAL_Y_MO;USUARIO_2026-05-06</t>
  </si>
  <si>
    <t>MAT-ALB-0006</t>
  </si>
  <si>
    <t>Servicio de Tumbado de Gypsum RH</t>
  </si>
  <si>
    <t>MAT-ALB-0007</t>
  </si>
  <si>
    <t>Servicio de Pantalla de gypsum</t>
  </si>
  <si>
    <t>Pantalla gypsum integral</t>
  </si>
  <si>
    <t>MAT-CMD-0001</t>
  </si>
  <si>
    <t>Puerta de Tablero Solido MDP Abatible (1 hoja) - (0.90x2.10) m, incluye marcos, tapamarcos y cerradura</t>
  </si>
  <si>
    <t>Carpinteria de Madera</t>
  </si>
  <si>
    <t>Puerta</t>
  </si>
  <si>
    <t>Puerta de Tablero Solido MDP Abatible (1 hoja) - (0.90x2.10) m</t>
  </si>
  <si>
    <t>0.90x2.10</t>
  </si>
  <si>
    <t>Usuario captura Carpinteria de Madera</t>
  </si>
  <si>
    <t>FUENTE_USUARIO_2026-05-05;INCLUYE_CERRADURA</t>
  </si>
  <si>
    <t>MAT-CMD-0002</t>
  </si>
  <si>
    <t>Puerta de Tablero Solido RH Abatible (1 hoja) - (0.70x2.15) m, incluye marcos, tapamarcos y cerradura</t>
  </si>
  <si>
    <t>Puerta de Tablero Solido RH Abatible (1 hoja) - (0.70x2.15) m</t>
  </si>
  <si>
    <t>0.70x2.15</t>
  </si>
  <si>
    <t>MAT-CMD-0003</t>
  </si>
  <si>
    <t>Puerta de Plywood Marino RH Abatible (1 hoja) - (1.00x2.20) m, incluye marcos, tapamarcos y cerradura</t>
  </si>
  <si>
    <t>Puerta de Plywood Marino RH Abatible (1 hoja) - (1.00x2.20) m</t>
  </si>
  <si>
    <t>1.00x2.20</t>
  </si>
  <si>
    <t>MAT-CMD-0004</t>
  </si>
  <si>
    <t>Closet Dormitorio Master 2.13x2.10, inc marcos, puertas y tubo metalico, no inc maletero</t>
  </si>
  <si>
    <t>Closet Dormitorio Master 2.13x2.10, incluye marcos, puertas y tubo metalico</t>
  </si>
  <si>
    <t>2.13x2.10</t>
  </si>
  <si>
    <t>FUENTE_USUARIO_2026-05-05</t>
  </si>
  <si>
    <t>MAT-CMD-0005</t>
  </si>
  <si>
    <t>Closet Dormitorio 1, 2.13x2.10, inc marcos, puertas y tubo metalico, no inc maletero</t>
  </si>
  <si>
    <t>Closet Dormitorio 1, incluye marcos, puertas y tubo metalico</t>
  </si>
  <si>
    <t>MAT-CMD-0006</t>
  </si>
  <si>
    <t>Closet Dormitorio 2, 1.90x2.10, inc marcos, puertas y tubo metalico, no inc maletero</t>
  </si>
  <si>
    <t>Closet Dormitorio 2, incluye marcos, puertas y tubo metalico</t>
  </si>
  <si>
    <t>MAT-CMD-0007</t>
  </si>
  <si>
    <t>Modulos de Cocina Inferiores, acabado puertas RH color GRIS FANTASIA, no inc cajones</t>
  </si>
  <si>
    <t>Modulos</t>
  </si>
  <si>
    <t>Modulos de Cocina Inferior, acabado Puertas RH color Gris Fantasia, no incluye cajones</t>
  </si>
  <si>
    <t>MAT-CMD-0008</t>
  </si>
  <si>
    <t>Modulos de Cocina Superiores, acabado puertas RH color TAUPE FANTASIA, no inc cajones</t>
  </si>
  <si>
    <t>Modulos de Cocina Superior, acabado Puertas RH color Gris Fantasia, no incluye cajones</t>
  </si>
  <si>
    <t>MAT-CMT-0001</t>
  </si>
  <si>
    <t>Puerta abatible metalica exterior de 1 hoja con acabado en pintura blanca</t>
  </si>
  <si>
    <t>Carpinteria Metalica</t>
  </si>
  <si>
    <t>Puerta Abatible Metalica Exterior de 1 Hoja, incluye Pintura Blanca</t>
  </si>
  <si>
    <t>Usuario captura Carpinteria Metalica</t>
  </si>
  <si>
    <t>MAT-CMT-0002</t>
  </si>
  <si>
    <t>Pasamanos metalico interior h=90 cm con acabado en pintura color negro</t>
  </si>
  <si>
    <t>Pasamanos Metalico Interior h=90cm, incluye Pintura Negra</t>
  </si>
  <si>
    <t>MAT-CMT-0003</t>
  </si>
  <si>
    <t>Pasamanos metalico exterior h=90 cm con acabado en pintura color negro</t>
  </si>
  <si>
    <t>Pasamanos Metalico Exterior h=90cm, incluye Pintura Negra</t>
  </si>
  <si>
    <t>MAT-ALV-0001</t>
  </si>
  <si>
    <t>Puerta de Aluminio y Vidrio de 6mm Abatible (1 hoja) - (0.80x2.10) m</t>
  </si>
  <si>
    <t>Aluminio y Vidrio</t>
  </si>
  <si>
    <t>6mm;0.80x2.10</t>
  </si>
  <si>
    <t>Insucons puerta aluminio vidrio 6mm +5%; area 1.68m2</t>
  </si>
  <si>
    <t>APROBADO_USUARIO;PRECIO_INSUCONS_124.07_M2_MAS_5%;AREA=1.68M2;INCLUYE_SUMINISTRO_INSTALACION</t>
  </si>
  <si>
    <t>MAT-ALV-0002</t>
  </si>
  <si>
    <t>Puerta de Aluminio y Vidrio Laminado de 8mm Corrediza (1 hoja) - (1.80x2.20) m</t>
  </si>
  <si>
    <t>8mm;1.80x2.20</t>
  </si>
  <si>
    <t>Tabulado_Cotizaciones_04.xlsx; puerta corrediza 92/m2 +15% por 8mm; area 3.96m2</t>
  </si>
  <si>
    <t>APROBADO_USUARIO;TABULADO_92_M2;AJUSTE_8MM_15%;AREA=3.96M2;INCLUYE_SUMINISTRO_INSTALACION</t>
  </si>
  <si>
    <t>MAT-ALV-0003</t>
  </si>
  <si>
    <t>Puerta de Aluminio y Vidrio Laminado de 8mm (1 hoja corrediza) (1 hoja fija) - (2.10x2.20) m</t>
  </si>
  <si>
    <t>8mm;2.10x2.20</t>
  </si>
  <si>
    <t>Tabulado_Cotizaciones_04.xlsx; puerta corrediza 92/m2 +15% por 8mm; area 4.62m2</t>
  </si>
  <si>
    <t>APROBADO_USUARIO;TABULADO_92_M2;AJUSTE_8MM_15%;AREA=4.62M2;INCLUYE_SUMINISTRO_INSTALACION</t>
  </si>
  <si>
    <t>MAT-ALV-0004</t>
  </si>
  <si>
    <t>Aluminio y Vidrio Laminado 6mm para ventanas m2</t>
  </si>
  <si>
    <t>Aluminio</t>
  </si>
  <si>
    <t>6mm</t>
  </si>
  <si>
    <t>Tabulado_Cotizaciones_04.xlsx; BOSQUIRA CEDRO ACTUALIZADA; ventana corrediza FISA vidrio laminado 6mm</t>
  </si>
  <si>
    <t>APROBADO_USUARIO;TABULADO_82_M2;INCLUYE_MALLA_SELLAMIENTO_SUMINISTRO_INSTALACION</t>
  </si>
  <si>
    <t>MAT-ALV-0005</t>
  </si>
  <si>
    <t>Aluminio y Vidrio Arenado 6mm para ventanas m2</t>
  </si>
  <si>
    <t>Tabulado_Cotizaciones_04.xlsx; ventana 82/m2 +5% acabado arenado</t>
  </si>
  <si>
    <t>APROBADO_USUARIO;TABULADO_82_M2;AJUSTE_ARENADO_5%;INCLUYE_SUMINISTRO_INSTALACION</t>
  </si>
  <si>
    <t>MAT-CIV-0058</t>
  </si>
  <si>
    <t>Pared de Bloque de Arcilla e=7cm, incluye chicotes</t>
  </si>
  <si>
    <t>Pared</t>
  </si>
  <si>
    <t>Pendiente cotizacion</t>
  </si>
  <si>
    <t>SIN_COSTO_EN_XLSM;REQUIERE_COTIZACION</t>
  </si>
  <si>
    <t>MAT-CIV-0059</t>
  </si>
  <si>
    <t>Viga Armex para Columnas</t>
  </si>
  <si>
    <t>Viga</t>
  </si>
  <si>
    <t>MAT-CIV-0060</t>
  </si>
  <si>
    <t>Viga Armex para Riostra</t>
  </si>
  <si>
    <t>MAT-CIV-0061</t>
  </si>
  <si>
    <t>Viga Armex para Vigas</t>
  </si>
  <si>
    <t>MAT-CIV-0062</t>
  </si>
  <si>
    <t>Cerramiento CERCAPRO Perimetral, incluye Pintura verde</t>
  </si>
  <si>
    <t>Cerramiento</t>
  </si>
  <si>
    <t>CERCAPRO Perimetral</t>
  </si>
  <si>
    <t>Verde</t>
  </si>
  <si>
    <t>incluye pintura verde</t>
  </si>
  <si>
    <t>PRECIO_DEFINIDO_USUARIO_2026-05-15</t>
  </si>
  <si>
    <t>MAT-CIV-0063</t>
  </si>
  <si>
    <t>Cesped para jardin</t>
  </si>
  <si>
    <t>Cesped</t>
  </si>
  <si>
    <t>MAT-CIV-0064</t>
  </si>
  <si>
    <t>Relleno con material vegetal h=10cm</t>
  </si>
  <si>
    <t>Relleno</t>
  </si>
  <si>
    <t>MAT-CIV-0065</t>
  </si>
  <si>
    <t>Suministro e instalacion de piedra chispa en garage h=10cm</t>
  </si>
  <si>
    <t>Piedra</t>
  </si>
  <si>
    <t>MAT-CIV-0066</t>
  </si>
  <si>
    <t>Nivelacion de terreno natural</t>
  </si>
  <si>
    <t>Nivelacion</t>
  </si>
  <si>
    <t>MAT-ALV-0006</t>
  </si>
  <si>
    <t>Aluminio y Vidrio Arenado 6mm para ventana proyectable m2</t>
  </si>
  <si>
    <t>Ventana proyectable aluminio y vidrio arenado</t>
  </si>
  <si>
    <t>Insucons ventana proyectable aluminio vidrio 6mm +5%</t>
  </si>
  <si>
    <t>APROBADO_USUARIO;PRECIO_INSUCONS_119.13_M2_MAS_5%;INCLUYE_SUMINISTRO_INSTALACION</t>
  </si>
  <si>
    <t>MOB-REV-0001</t>
  </si>
  <si>
    <t>Servicio instalacion porcelanato piso interior 22x90 inc emporado</t>
  </si>
  <si>
    <t>Instalacion Piso Porcelanato 22x90</t>
  </si>
  <si>
    <t>alcance=instalacion;acabado=emporado</t>
  </si>
  <si>
    <t>Usuario 2026-05-06 tarifas instalacion revestimientos</t>
  </si>
  <si>
    <t>SERVICIO_MO;FUENTE_INTERNA;TIPO_1_PISO;SERVICIO_MO_CUADRADO_USUARIO_2026-05-06</t>
  </si>
  <si>
    <t>MOB-REV-0002</t>
  </si>
  <si>
    <t>Servicio instalacion rastrera porcelanato h=9cm interior inc remate</t>
  </si>
  <si>
    <t>Instalacion Rastrera Porcelanato 9cm</t>
  </si>
  <si>
    <t>alcance=instalacion;incluye=remate superior</t>
  </si>
  <si>
    <t>SERVICIO_MO;PRECIO_DERIVADO;RASTRERA_INTERIOR;SERVICIO_MO_CUADRADO_USUARIO_2026-05-06</t>
  </si>
  <si>
    <t>MOB-REV-0003</t>
  </si>
  <si>
    <t>Servicio instalacion porcelanato piso exterior 60x60 inc emporado</t>
  </si>
  <si>
    <t>Instalacion Piso Porcelanato 60x60</t>
  </si>
  <si>
    <t>SERVICIO_MO;FUENTE_INTERNA;TIPO_2_PISO;SERVICIO_MO_CUADRADO_USUARIO_2026-05-06</t>
  </si>
  <si>
    <t>MOB-REV-0004</t>
  </si>
  <si>
    <t>Servicio instalacion ceramica pared 30x60</t>
  </si>
  <si>
    <t>Instalacion Ceramica Pared 30x60</t>
  </si>
  <si>
    <t>alcance=instalacion pared</t>
  </si>
  <si>
    <t>SERVICIO_MO;FUENTE_INTERNA;CERAMICA_PARED;SERVICIO_MO_CUADRADO_USUARIO_2026-05-06</t>
  </si>
  <si>
    <t>MOB-REV-0005</t>
  </si>
  <si>
    <t>Servicio instalacion porcelanato escalera</t>
  </si>
  <si>
    <t>Instalacion Escalera Porcelanato</t>
  </si>
  <si>
    <t>alcance=instalacion escalones</t>
  </si>
  <si>
    <t>SERVICIO_MO;FUENTE_INTERNA;ESCALERA;SERVICIO_MO_CUADRADO_USUARIO_2026-05-06</t>
  </si>
  <si>
    <t>MOB-REV-0006</t>
  </si>
  <si>
    <t>Servicio instalacion rastrera porcelanato escalera h=9cm</t>
  </si>
  <si>
    <t>Instalacion Rastrera Escalera 9cm</t>
  </si>
  <si>
    <t>alcance=instalacion rastrera escalera</t>
  </si>
  <si>
    <t>SERVICIO_MO;PRECIO_DERIVADO;RASTRERA_ESCALERA;SERVICIO_MO_CUADRADO_USUARIO_2026-05-06</t>
  </si>
  <si>
    <t>MOB-REV-0007</t>
  </si>
  <si>
    <t>Servicio instalacion meson granito negro san gabriel 2cm inc faldon 10cm</t>
  </si>
  <si>
    <t>Instalacion Meson Granito 2cm</t>
  </si>
  <si>
    <t>alcance=instalacion meson;incluye=faldon 10cm</t>
  </si>
  <si>
    <t>SERVICIO_MO;PRECIO_DERIVADO;MESON_GRANITO;SERVICIO_MO_CUADRADO_USUARIO_2026-05-06</t>
  </si>
  <si>
    <t>MOB-REV-0008</t>
  </si>
  <si>
    <t>Servicio instalacion salpicadero granito negro san gabriel h=10cm</t>
  </si>
  <si>
    <t>Instalacion Salpicadero Granito 10cm</t>
  </si>
  <si>
    <t>alcance=instalacion salpicadero</t>
  </si>
  <si>
    <t>SERVICIO_MO;FUENTE_INTERNA;SALPICADERO_GRANITO;SERVICIO_MO_CUADRADO_USUARIO_2026-05-06</t>
  </si>
  <si>
    <t>MOB-GYP-0001</t>
  </si>
  <si>
    <t>Servicio instalacion cielo raso gypsum STD inc estuco</t>
  </si>
  <si>
    <t>Instalacion Cielo Raso Gypsum STD</t>
  </si>
  <si>
    <t>alcance=instalacion;incluye=estuco</t>
  </si>
  <si>
    <t>Usuario 2026-05-06 tarifas servicio gypsum</t>
  </si>
  <si>
    <t>SERVICIO_MO;GYPSUM_STD;FUENTE_INTERNA;SERVICIO_GYPSUM_CUADRADO_USUARIO_2026-05-06</t>
  </si>
  <si>
    <t>MOB-GYP-0002</t>
  </si>
  <si>
    <t>Servicio instalacion cielo raso gypsum RH inc estuco</t>
  </si>
  <si>
    <t>Instalacion Cielo Raso Gypsum RH</t>
  </si>
  <si>
    <t>SERVICIO_MO;GYPSUM_RH;PRECIO_DERIVADO;SERVICIO_GYPSUM_CUADRADO_USUARIO_2026-05-06</t>
  </si>
  <si>
    <t>MOB-GYP-0003</t>
  </si>
  <si>
    <t>Servicio instalacion pantalla de gypsum en escalera</t>
  </si>
  <si>
    <t>Instalacion Pantalla Gypsum Escalera</t>
  </si>
  <si>
    <t>alcance=instalacion pantalla</t>
  </si>
  <si>
    <t>SERVICIO_MO;GYPSUM_PANTALLA;PRECIO_DERIVADO;SERVICIO_GYPSUM_CUADRADO_USUARIO_2026-05-06</t>
  </si>
  <si>
    <t>MOB-PIN-0001</t>
  </si>
  <si>
    <t>Servicio aplicacion pintura interior tipo 1 inc empaste</t>
  </si>
  <si>
    <t>Aplicacion Pintura Interior Tipo 1</t>
  </si>
  <si>
    <t>alcance=aplicacion</t>
  </si>
  <si>
    <t>Derivado interno Marlon Mendieta: empaste + 2 manos interior</t>
  </si>
  <si>
    <t>SERVICIO_MO;PINTURA_INTERIOR;DERIVADO_INTERNO</t>
  </si>
  <si>
    <t>MOB-PIN-0002</t>
  </si>
  <si>
    <t>Servicio aplicacion pintura exterior principal tipo 1</t>
  </si>
  <si>
    <t>Aplicacion Pintura Exterior Principal</t>
  </si>
  <si>
    <t>PRESUPUESTO_PARA_CASA_OLIVO_J__YANEZ__JUNIO_2025_signed.pdf</t>
  </si>
  <si>
    <t>SERVICIO_MO;PINTURA_EXTERIOR;FUENTE_INTERNA</t>
  </si>
  <si>
    <t>MOB-PIN-0003</t>
  </si>
  <si>
    <t>Servicio aplicacion pintura exterior secundario tipo 2</t>
  </si>
  <si>
    <t>Aplicacion Pintura Exterior Secundario</t>
  </si>
  <si>
    <t>MAT-PIN-0013</t>
  </si>
  <si>
    <t>Pintura Latex Supremo Elastomerico Chatura Gra SW9169 o similar 1 galon Pinturas Unidas</t>
  </si>
  <si>
    <t>Supremo Elastomerico</t>
  </si>
  <si>
    <t>Chatura Gra SW9169 o similar</t>
  </si>
  <si>
    <t>web Promart / equivalente Unidas</t>
  </si>
  <si>
    <t>WEB_PROMART;PRECIO_EQUIVALENTE;COLOR_REFERENCIAL_USUARIO_2026-05-06;IVA_CORREGIDO_2026-05-06</t>
  </si>
  <si>
    <t>MAT-PIN-0014</t>
  </si>
  <si>
    <t>Pintura Latex Supremo Elastomerico Popular Gray SW6071 o similar 1 galon Pinturas Unidas</t>
  </si>
  <si>
    <t>Popular Gray SW6071 o similar</t>
  </si>
  <si>
    <t>MAT-BKR-0007</t>
  </si>
  <si>
    <t>Recubre Forte</t>
  </si>
  <si>
    <t>OC45_BOONKER_PRECIO_CON_DCTO_10%;oc 45 BOONKER.pdf</t>
  </si>
  <si>
    <t>EQP-GEN-0016</t>
  </si>
  <si>
    <t>Andamio metalico tubular</t>
  </si>
  <si>
    <t>Andamio</t>
  </si>
  <si>
    <t>Tubular</t>
  </si>
  <si>
    <t>m2-dia</t>
  </si>
  <si>
    <t>alquiler diario referencial</t>
  </si>
  <si>
    <t>CYPE Ecuador - alquiler diario de andamio tubular de fachada (0,09 por m2-dia) 2026-05-14</t>
  </si>
  <si>
    <t>CYPE_ECUADOR;ANDAMIO_TUBULAR;ALQUILER_DIARIO_M2</t>
  </si>
  <si>
    <t>MAT-ALV-0007</t>
  </si>
  <si>
    <t>Puerta de aluminio y vidrio 6mm abatible m2</t>
  </si>
  <si>
    <t>Puerta abatible aluminio y vidrio 6mm</t>
  </si>
  <si>
    <t>Derivado de ACB-ALV-0001 / area 1.68m2 2026-05-14</t>
  </si>
  <si>
    <t>DERIVADO_APU_EXISTENTE;PUERTA_ABATIBLE_6MM_M2;INCLUYE_SUMINISTRO_INSTALACION</t>
  </si>
  <si>
    <t>MAT-ALV-0008</t>
  </si>
  <si>
    <t>Puerta de aluminio y vidrio laminado 8mm m2</t>
  </si>
  <si>
    <t>Puerta corrediza/fija aluminio y vidrio laminado 8mm</t>
  </si>
  <si>
    <t>8mm</t>
  </si>
  <si>
    <t>Derivado de ACB-ALV-0002 y ACB-ALV-0003 2026-05-14</t>
  </si>
  <si>
    <t>DERIVADO_APU_EXISTENTE;PUERTA_8MM_M2;INCLUYE_SUMINISTRO_INSTALACION</t>
  </si>
  <si>
    <t>MAT-CIV-0067</t>
  </si>
  <si>
    <t>Encofrado Metalico para Losas (1 semana)</t>
  </si>
  <si>
    <t>Encofrado metalico para losas</t>
  </si>
  <si>
    <t>1 semana</t>
  </si>
  <si>
    <t>Criterio usuario 2026-05-14</t>
  </si>
  <si>
    <t>USUARIO_PRECIO_5_M2;ENCOFRADO_METALICO_LOSA_1_SEMANA</t>
  </si>
  <si>
    <t>MAT-CIV-0068</t>
  </si>
  <si>
    <t>Bloque Liviano 7x19x39 cm</t>
  </si>
  <si>
    <t>Bloques</t>
  </si>
  <si>
    <t>Bloque Liviano</t>
  </si>
  <si>
    <t>7x19x39 cm</t>
  </si>
  <si>
    <t>STOCKPROYECTO.xlsx</t>
  </si>
  <si>
    <t>CREADO_DESDE_STOCKPROYECTO_2026-05-15</t>
  </si>
  <si>
    <t>MAT-CIV-0069</t>
  </si>
  <si>
    <t>Pegablok Arcilla Tipo N 40kg Intaco</t>
  </si>
  <si>
    <t>Mortero</t>
  </si>
  <si>
    <t>Intaco</t>
  </si>
  <si>
    <t>Pegablok Arcilla Tipo N</t>
  </si>
  <si>
    <t>40kg</t>
  </si>
  <si>
    <t>kywi.com.ec Pegablok Tipo N 40Kg</t>
  </si>
  <si>
    <t>CREADO_DESDE_FICHA_Y_PRECIO_WEB_2026-05-15</t>
  </si>
  <si>
    <t>MAT-CIV-0070</t>
  </si>
  <si>
    <t>Mortero Enlumax Arcilla Capa Gruesa x saco 40 kg Intaco Gris</t>
  </si>
  <si>
    <t>Enlumax Arcilla Capa Gruesa</t>
  </si>
  <si>
    <t>saco 40 kg</t>
  </si>
  <si>
    <t>15mm</t>
  </si>
  <si>
    <t>Disensa FT + Kywi 2026-05-15</t>
  </si>
  <si>
    <t>ESPESOR_REFERENCIA_15MM;RECURSO_CERRAMIENTO_2026-05-15</t>
  </si>
  <si>
    <t>Acero de refuerzo</t>
  </si>
  <si>
    <t>Acabados</t>
  </si>
  <si>
    <t>Adhesivos</t>
  </si>
  <si>
    <t>Albañilería</t>
  </si>
  <si>
    <t>Agregado</t>
  </si>
  <si>
    <t>Est Metalica</t>
  </si>
  <si>
    <t>Piezas Electricas</t>
  </si>
  <si>
    <t>Bloques y Ladrillos</t>
  </si>
  <si>
    <t>Capas Finas de Acabado</t>
  </si>
  <si>
    <t>Cerámica</t>
  </si>
  <si>
    <t>Cesped y Coberturas Vegetales</t>
  </si>
  <si>
    <t>Cinta PVC</t>
  </si>
  <si>
    <t>Closet</t>
  </si>
  <si>
    <t>Consumibles</t>
  </si>
  <si>
    <t>Desagüe / rejilla</t>
  </si>
  <si>
    <t>Dinteles Prefabricados</t>
  </si>
  <si>
    <t>Elementos de Madera para Encofrado</t>
  </si>
  <si>
    <t>Grifería</t>
  </si>
  <si>
    <t>Hormigón premezclado</t>
  </si>
  <si>
    <t>In Situ</t>
  </si>
  <si>
    <t>Luminarias</t>
  </si>
  <si>
    <t>Manguera</t>
  </si>
  <si>
    <t>Medicion y control</t>
  </si>
  <si>
    <t>Mobiliario de cocina</t>
  </si>
  <si>
    <t>Pendiente</t>
  </si>
  <si>
    <t>Pulsadores</t>
  </si>
  <si>
    <t>Revestimiento</t>
  </si>
  <si>
    <t>Sifón</t>
  </si>
  <si>
    <t>Sistemas de Encofrado en Alquiler</t>
  </si>
  <si>
    <t>Tablero</t>
  </si>
  <si>
    <t>Tapón</t>
  </si>
  <si>
    <t>Tierra Vegetal y Sustratos</t>
  </si>
  <si>
    <t>Tratamientos de Suelo y Control de Plagas</t>
  </si>
  <si>
    <t>Tubería</t>
  </si>
  <si>
    <t>Tubería Conduit</t>
  </si>
  <si>
    <t>Unión</t>
  </si>
  <si>
    <t>Ventana</t>
  </si>
  <si>
    <t>Válvula</t>
  </si>
  <si>
    <t>A M3</t>
  </si>
  <si>
    <t>Horas de trabajo diario:</t>
  </si>
  <si>
    <t>SBU:</t>
  </si>
  <si>
    <t>Año del proyecto:</t>
  </si>
  <si>
    <t>Factor de mayoración:</t>
  </si>
  <si>
    <t>Feriados entre semana</t>
  </si>
  <si>
    <t>Fines de semana</t>
  </si>
  <si>
    <t>Días no laborados:</t>
  </si>
  <si>
    <t>Días laborados:</t>
  </si>
  <si>
    <t>Cálculo de costo horario para mano de obra</t>
  </si>
  <si>
    <t>CATEGORIA/CARGO</t>
  </si>
  <si>
    <t>Est. Ocup. E2</t>
  </si>
  <si>
    <t>Est. Ocup. D2</t>
  </si>
  <si>
    <t>Est. Ocup. C1</t>
  </si>
  <si>
    <t>Est. Ocup. B1</t>
  </si>
  <si>
    <t>Est. Ocup. B3</t>
  </si>
  <si>
    <t>Grupo 1</t>
  </si>
  <si>
    <t>Grupo 2</t>
  </si>
  <si>
    <t>Grupo 3</t>
  </si>
  <si>
    <t>Grupo 4</t>
  </si>
  <si>
    <t>Albañiles</t>
  </si>
  <si>
    <t>Topógrafo</t>
  </si>
  <si>
    <t>Chofer</t>
  </si>
  <si>
    <t>Mecánico</t>
  </si>
  <si>
    <t>Supervisor</t>
  </si>
  <si>
    <t>Op. Retro</t>
  </si>
  <si>
    <t>es ayudante</t>
  </si>
  <si>
    <t>Inspector</t>
  </si>
  <si>
    <t>por imprevistos</t>
  </si>
  <si>
    <t>con maquinaria</t>
  </si>
  <si>
    <t>Salario diario unificado nominal</t>
  </si>
  <si>
    <t>Mensual Nominal</t>
  </si>
  <si>
    <t>Anual Nominal</t>
  </si>
  <si>
    <t>13er sueldo</t>
  </si>
  <si>
    <t>14to sueldo</t>
  </si>
  <si>
    <t>Aporte patronal</t>
  </si>
  <si>
    <t>Fondo de reserva</t>
  </si>
  <si>
    <t>Total Anual</t>
  </si>
  <si>
    <t>Total Mensual</t>
  </si>
  <si>
    <t>Factor de Salario Real</t>
  </si>
  <si>
    <t>Mensual Real</t>
  </si>
  <si>
    <t>Costo Horario</t>
  </si>
  <si>
    <t>EQP-HER-0001</t>
  </si>
  <si>
    <t>Herramientas menores 5% mano de obra</t>
  </si>
  <si>
    <t>Herramientas</t>
  </si>
  <si>
    <t>Herramientas menores</t>
  </si>
  <si>
    <t>glb</t>
  </si>
  <si>
    <t>Calculo interno 5% mano de obra</t>
  </si>
  <si>
    <t>RECURSO_CALCULO;PU_1;CANTIDAD_APLICADA_EQUIVALE_AL_5_PCT_COSTO_MO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</si>
</sst>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164" formatCode="0.000"/>
    <numFmt numFmtId="165" formatCode="_(* #,##0.00_);_(* \(#,##0.00\);_(* &quot; &quot;_);_(@_)"/>
    <numFmt numFmtId="166" formatCode="yyyy\-mm\-dd\ 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2" fontId="4" fillId="0" borderId="1" xfId="0" applyNumberFormat="1" applyFont="1" applyBorder="1" applyAlignment="1">
      <alignment horizontal="right" vertical="center"/>
    </xf>
    <xf numFmtId="2" fontId="4" fillId="0" borderId="2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165" fontId="4" fillId="2" borderId="4" xfId="0" applyNumberFormat="1" applyFont="1" applyFill="1" applyBorder="1" applyAlignment="1">
      <alignment horizontal="right" vertical="center"/>
    </xf>
    <xf numFmtId="165" fontId="4" fillId="2" borderId="5" xfId="0" applyNumberFormat="1" applyFont="1" applyFill="1" applyBorder="1" applyAlignment="1">
      <alignment horizontal="right" vertical="center"/>
    </xf>
    <xf numFmtId="165" fontId="3" fillId="2" borderId="5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165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5" fontId="4" fillId="3" borderId="4" xfId="0" applyNumberFormat="1" applyFont="1" applyFill="1" applyBorder="1" applyAlignment="1">
      <alignment vertical="center"/>
    </xf>
    <xf numFmtId="165" fontId="4" fillId="3" borderId="5" xfId="0" applyNumberFormat="1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165" fontId="4" fillId="0" borderId="7" xfId="0" applyNumberFormat="1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4" fontId="4" fillId="3" borderId="0" xfId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166" fontId="0" fillId="0" borderId="0" xfId="0" applyNumberFormat="1"/>
    <xf numFmtId="166" fontId="1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4" borderId="22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0" xfId="0" applyBorder="1"/>
    <xf numFmtId="0" fontId="4" fillId="0" borderId="19" xfId="0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</cellXfs>
  <cellStyles count="2">
    <cellStyle name="Moneda 2" xfId="1" xr:uid="{00000000-0005-0000-0000-000001000000}"/>
    <cellStyle name="Normal" xfId="0" builtinId="0"/>
  </cellStyles>
  <dxfs count="26">
    <dxf>
      <alignment horizontal="center" vertical="center"/>
    </dxf>
    <dxf>
      <numFmt numFmtId="164" formatCode="0.000"/>
      <alignment horizontal="center" vertical="center"/>
    </dxf>
    <dxf>
      <numFmt numFmtId="164" formatCode="0.000"/>
      <alignment horizontal="center" vertical="center"/>
    </dxf>
    <dxf>
      <numFmt numFmtId="19" formatCode="d/m/yyyy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/m/yyyy"/>
      <alignment horizontal="center" vertical="center"/>
    </dxf>
    <dxf>
      <numFmt numFmtId="164" formatCode="0.000"/>
      <alignment horizontal="center" vertical="center"/>
    </dxf>
    <dxf>
      <numFmt numFmtId="164" formatCode="0.000"/>
      <alignment horizontal="center" vertical="center"/>
    </dxf>
    <dxf>
      <numFmt numFmtId="19" formatCode="d/m/yyyy"/>
      <alignment horizontal="center" vertical="center"/>
    </dxf>
    <dxf>
      <numFmt numFmtId="164" formatCode="0.000"/>
      <alignment horizontal="center" vertical="center"/>
    </dxf>
    <dxf>
      <numFmt numFmtId="164" formatCode="0.00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</dxf>
    <dxf>
      <alignment horizontal="center" vertical="center"/>
    </dxf>
    <dxf>
      <alignment horizontal="center" vertical="center"/>
    </dxf>
    <dxf>
      <alignment vertical="center"/>
    </dxf>
    <dxf>
      <alignment horizontal="center" vertical="center"/>
    </dxf>
    <dxf>
      <alignment horizontal="center" vertical="center"/>
    </dxf>
    <dxf>
      <alignment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cursos" displayName="tblRecursos" ref="A2:X434" totalsRowShown="0" headerRowDxfId="25" dataDxfId="24">
  <autoFilter ref="A2:X434" xr:uid="{00000000-0009-0000-0100-000001000000}">
    <filterColumn colId="2">
      <filters>
        <filter val="Aditivo plastificante acelerante hormigon 2kg Aditec"/>
        <filter val="Cajas de H.S. con Tapa de Hormigon 40x40, incluye marco y contramarco"/>
        <filter val="Hormigon Premezclado f'c=140kg/cm2 Vaciado Directo"/>
        <filter val="Hormigon Premezclado f'c=180kg/cm2 Vaciado Directo"/>
        <filter val="Hormigon Premezclado f'c=210kg/cm2 Vaciado Directo"/>
        <filter val="Hormigon Premezclado f'c=280kg/cm2 Vaciado Directo"/>
        <filter val="Hormigon Premezclado f'c=350kg/cm2 Vaciado Directo"/>
      </filters>
    </filterColumn>
  </autoFilter>
  <sortState xmlns:xlrd2="http://schemas.microsoft.com/office/spreadsheetml/2017/richdata2" ref="A3:X25">
    <sortCondition ref="A15:A25"/>
  </sortState>
  <tableColumns count="24">
    <tableColumn id="1" xr3:uid="{00000000-0010-0000-0000-000001000000}" name="ID" dataDxfId="23"/>
    <tableColumn id="2" xr3:uid="{00000000-0010-0000-0000-000002000000}" name="Codigo" dataDxfId="22"/>
    <tableColumn id="5" xr3:uid="{00000000-0010-0000-0000-000005000000}" name="Descripcion" dataDxfId="21"/>
    <tableColumn id="3" xr3:uid="{00000000-0010-0000-0000-000003000000}" name="Categoria" dataDxfId="20"/>
    <tableColumn id="18" xr3:uid="{00000000-0010-0000-0000-000012000000}" name="Subcategoria" dataDxfId="19"/>
    <tableColumn id="7" xr3:uid="{00000000-0010-0000-0000-000007000000}" name="Tipo" dataDxfId="18"/>
    <tableColumn id="8" xr3:uid="{00000000-0010-0000-0000-000008000000}" name="Familia" dataDxfId="17"/>
    <tableColumn id="11" xr3:uid="{00000000-0010-0000-0000-00000B000000}" name="Marca" dataDxfId="16"/>
    <tableColumn id="21" xr3:uid="{00000000-0010-0000-0000-000015000000}" name="Modelo" dataDxfId="15"/>
    <tableColumn id="20" xr3:uid="{00000000-0010-0000-0000-000014000000}" name="Presentacion" dataDxfId="14"/>
    <tableColumn id="23" xr3:uid="{00000000-0010-0000-0000-000017000000}" name="Medidas" dataDxfId="13"/>
    <tableColumn id="22" xr3:uid="{00000000-0010-0000-0000-000016000000}" name="Color" dataDxfId="12"/>
    <tableColumn id="24" xr3:uid="{00000000-0010-0000-0000-000018000000}" name="Otros" dataDxfId="11"/>
    <tableColumn id="6" xr3:uid="{00000000-0010-0000-0000-000006000000}" name="Unidad" dataDxfId="10"/>
    <tableColumn id="10" xr3:uid="{00000000-0010-0000-0000-00000A000000}" name="Precio Mercado" dataDxfId="9"/>
    <tableColumn id="14" xr3:uid="{00000000-0010-0000-0000-00000E000000}" name="Precio Unitario" dataDxfId="8">
      <calculatedColumnFormula array="1">+_xlfn.IFS(tblRecursos[[#This Row],[Iva]]="No Incluye",tblRecursos[[#This Row],[Precio Mercado]],tblRecursos[[#This Row],[Iva]]="Incluye",tblRecursos[[#This Row],[Precio Mercado]]/1.15,tblRecursos[[#This Row],[Iva]]="No Define",tblRecursos[[#This Row],[Precio Mercado]])</calculatedColumnFormula>
    </tableColumn>
    <tableColumn id="12" xr3:uid="{00000000-0010-0000-0000-00000C000000}" name="Fecha Precio" dataDxfId="7"/>
    <tableColumn id="13" xr3:uid="{00000000-0010-0000-0000-00000D000000}" name="Fuente Precio" dataDxfId="6"/>
    <tableColumn id="19" xr3:uid="{00000000-0010-0000-0000-000013000000}" name="Iva" dataDxfId="5"/>
    <tableColumn id="4" xr3:uid="{00000000-0010-0000-0000-000004000000}" name="Fecha Creacion" dataDxfId="4"/>
    <tableColumn id="15" xr3:uid="{00000000-0010-0000-0000-00000F000000}" name="Fecha Actualizacion" dataDxfId="3"/>
    <tableColumn id="16" xr3:uid="{00000000-0010-0000-0000-000010000000}" name="Observacion" dataDxfId="2"/>
    <tableColumn id="17" xr3:uid="{00000000-0010-0000-0000-000011000000}" name="Activo" dataDxfId="1"/>
    <tableColumn id="9" xr3:uid="{00000000-0010-0000-0000-000009000000}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A1:X434"/>
  <sheetViews>
    <sheetView tabSelected="1" topLeftCell="H1" zoomScale="85" zoomScaleNormal="85" workbookViewId="0">
      <selection activeCell="O190" sqref="O190"/>
    </sheetView>
  </sheetViews>
  <sheetFormatPr baseColWidth="10" defaultColWidth="11.5546875" defaultRowHeight="14.4" x14ac:dyDescent="0.3"/>
  <cols>
    <col min="1" max="1" width="12.109375" style="2" customWidth="1"/>
    <col min="2" max="2" width="16.109375" style="2" customWidth="1"/>
    <col min="3" max="3" width="66.6640625" style="50" bestFit="1" customWidth="1"/>
    <col min="4" max="4" width="14.33203125" style="1" bestFit="1" customWidth="1"/>
    <col min="5" max="5" width="17.33203125" style="1" bestFit="1" customWidth="1"/>
    <col min="6" max="6" width="11.109375" style="2" bestFit="1" customWidth="1"/>
    <col min="7" max="7" width="21.44140625" style="2" bestFit="1" customWidth="1"/>
    <col min="8" max="8" width="11.44140625" style="2" bestFit="1" customWidth="1"/>
    <col min="9" max="9" width="34.6640625" style="2" bestFit="1" customWidth="1"/>
    <col min="10" max="11" width="17.33203125" style="2" bestFit="1" customWidth="1"/>
    <col min="12" max="12" width="19" style="2" customWidth="1"/>
    <col min="13" max="13" width="46" style="2" customWidth="1"/>
    <col min="14" max="14" width="12.109375" style="2" bestFit="1" customWidth="1"/>
    <col min="15" max="15" width="18.6640625" style="2" bestFit="1" customWidth="1"/>
    <col min="16" max="16" width="18.6640625" style="2" customWidth="1"/>
    <col min="17" max="17" width="17.33203125" style="2" bestFit="1" customWidth="1"/>
    <col min="18" max="18" width="17.88671875" style="2" bestFit="1" customWidth="1"/>
    <col min="19" max="19" width="9.6640625" style="2" bestFit="1" customWidth="1"/>
    <col min="20" max="20" width="19.44140625" style="2" bestFit="1" customWidth="1"/>
    <col min="21" max="21" width="23.5546875" style="2" bestFit="1" customWidth="1"/>
    <col min="22" max="22" width="21.5546875" style="2" customWidth="1"/>
    <col min="23" max="23" width="11.44140625" style="2" bestFit="1" customWidth="1"/>
    <col min="24" max="24" width="11.88671875" style="2" bestFit="1" customWidth="1"/>
    <col min="25" max="69" width="11.5546875" style="1" customWidth="1"/>
    <col min="70" max="16384" width="11.5546875" style="1"/>
  </cols>
  <sheetData>
    <row r="1" spans="1:24" s="43" customFormat="1" x14ac:dyDescent="0.3">
      <c r="A1" s="54" t="s">
        <v>0</v>
      </c>
      <c r="B1" s="55"/>
      <c r="C1" s="55"/>
      <c r="D1" s="54" t="s">
        <v>1</v>
      </c>
      <c r="E1" s="55"/>
      <c r="F1" s="55"/>
      <c r="G1" s="55"/>
      <c r="H1" s="54" t="s">
        <v>2</v>
      </c>
      <c r="I1" s="55"/>
      <c r="J1" s="55"/>
      <c r="K1" s="55"/>
      <c r="L1" s="55"/>
      <c r="M1" s="55"/>
      <c r="N1" s="54" t="s">
        <v>3</v>
      </c>
      <c r="O1" s="55"/>
      <c r="P1" s="55"/>
      <c r="Q1" s="55"/>
      <c r="R1" s="55"/>
      <c r="S1" s="55"/>
      <c r="T1" s="54" t="s">
        <v>4</v>
      </c>
      <c r="U1" s="55"/>
      <c r="V1" s="55"/>
      <c r="W1" s="55"/>
      <c r="X1" s="55"/>
    </row>
    <row r="2" spans="1:24" s="2" customFormat="1" x14ac:dyDescent="0.3">
      <c r="A2" s="2" t="s">
        <v>5</v>
      </c>
      <c r="B2" s="2" t="s">
        <v>6</v>
      </c>
      <c r="C2" s="50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</row>
    <row r="3" spans="1:24" hidden="1" x14ac:dyDescent="0.3">
      <c r="A3" s="2">
        <v>1</v>
      </c>
      <c r="B3" s="2" t="s">
        <v>29</v>
      </c>
      <c r="C3" s="1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I3" s="2" t="s">
        <v>35</v>
      </c>
      <c r="J3" s="2" t="s">
        <v>36</v>
      </c>
      <c r="N3" s="2" t="s">
        <v>36</v>
      </c>
      <c r="O3" s="3">
        <v>4.12</v>
      </c>
      <c r="P3" s="3">
        <f t="array" ref="P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4.12</v>
      </c>
      <c r="Q3" s="48">
        <v>43185</v>
      </c>
      <c r="R3" s="3" t="s">
        <v>37</v>
      </c>
      <c r="S3" s="3" t="s">
        <v>38</v>
      </c>
      <c r="T3" s="48">
        <v>43185</v>
      </c>
      <c r="U3" s="47">
        <v>46140</v>
      </c>
      <c r="V3" s="2" t="s">
        <v>39</v>
      </c>
      <c r="W3" s="2" t="s">
        <v>40</v>
      </c>
      <c r="X3" s="2" t="s">
        <v>41</v>
      </c>
    </row>
    <row r="4" spans="1:24" hidden="1" x14ac:dyDescent="0.3">
      <c r="A4" s="2">
        <v>2</v>
      </c>
      <c r="B4" s="2" t="s">
        <v>42</v>
      </c>
      <c r="C4" s="1" t="s">
        <v>43</v>
      </c>
      <c r="D4" s="2" t="s">
        <v>31</v>
      </c>
      <c r="E4" s="2" t="s">
        <v>32</v>
      </c>
      <c r="F4" s="2" t="s">
        <v>33</v>
      </c>
      <c r="G4" s="2" t="s">
        <v>44</v>
      </c>
      <c r="I4" s="2" t="s">
        <v>45</v>
      </c>
      <c r="J4" s="2" t="s">
        <v>36</v>
      </c>
      <c r="N4" s="2" t="s">
        <v>36</v>
      </c>
      <c r="O4" s="3">
        <v>4.17</v>
      </c>
      <c r="P4" s="3">
        <f t="array" ref="P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4.17</v>
      </c>
      <c r="Q4" s="48">
        <v>43185</v>
      </c>
      <c r="R4" s="3" t="s">
        <v>37</v>
      </c>
      <c r="S4" s="3" t="s">
        <v>38</v>
      </c>
      <c r="T4" s="48">
        <v>43185</v>
      </c>
      <c r="U4" s="47">
        <v>46140</v>
      </c>
      <c r="V4" s="2" t="s">
        <v>46</v>
      </c>
      <c r="W4" s="2" t="s">
        <v>40</v>
      </c>
      <c r="X4" s="2" t="s">
        <v>41</v>
      </c>
    </row>
    <row r="5" spans="1:24" hidden="1" x14ac:dyDescent="0.3">
      <c r="A5" s="2">
        <v>3</v>
      </c>
      <c r="B5" s="2" t="s">
        <v>47</v>
      </c>
      <c r="C5" s="1" t="s">
        <v>48</v>
      </c>
      <c r="D5" s="2" t="s">
        <v>31</v>
      </c>
      <c r="E5" s="2" t="s">
        <v>32</v>
      </c>
      <c r="F5" s="2" t="s">
        <v>33</v>
      </c>
      <c r="G5" s="2" t="s">
        <v>49</v>
      </c>
      <c r="I5" s="2" t="s">
        <v>45</v>
      </c>
      <c r="J5" s="2" t="s">
        <v>36</v>
      </c>
      <c r="N5" s="2" t="s">
        <v>36</v>
      </c>
      <c r="O5" s="3">
        <v>4.17</v>
      </c>
      <c r="P5" s="3">
        <f t="array" ref="P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4.17</v>
      </c>
      <c r="Q5" s="48">
        <v>43185</v>
      </c>
      <c r="R5" s="3" t="s">
        <v>37</v>
      </c>
      <c r="S5" s="3" t="s">
        <v>38</v>
      </c>
      <c r="T5" s="48">
        <v>43185</v>
      </c>
      <c r="U5" s="47">
        <v>46140</v>
      </c>
      <c r="V5" s="2" t="s">
        <v>39</v>
      </c>
      <c r="W5" s="2" t="s">
        <v>40</v>
      </c>
      <c r="X5" s="2" t="s">
        <v>41</v>
      </c>
    </row>
    <row r="6" spans="1:24" hidden="1" x14ac:dyDescent="0.3">
      <c r="A6" s="2">
        <v>4</v>
      </c>
      <c r="B6" s="2" t="s">
        <v>50</v>
      </c>
      <c r="C6" s="1" t="s">
        <v>51</v>
      </c>
      <c r="D6" s="2" t="s">
        <v>31</v>
      </c>
      <c r="E6" s="2" t="s">
        <v>32</v>
      </c>
      <c r="F6" s="2" t="s">
        <v>33</v>
      </c>
      <c r="G6" s="2" t="s">
        <v>52</v>
      </c>
      <c r="I6" s="2" t="s">
        <v>45</v>
      </c>
      <c r="J6" s="2" t="s">
        <v>36</v>
      </c>
      <c r="N6" s="2" t="s">
        <v>36</v>
      </c>
      <c r="O6" s="3">
        <v>4.17</v>
      </c>
      <c r="P6" s="3">
        <f t="array" ref="P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4.17</v>
      </c>
      <c r="Q6" s="48">
        <v>43185</v>
      </c>
      <c r="R6" s="3" t="s">
        <v>37</v>
      </c>
      <c r="S6" s="3" t="s">
        <v>38</v>
      </c>
      <c r="T6" s="48">
        <v>43185</v>
      </c>
      <c r="U6" s="47">
        <v>46140</v>
      </c>
      <c r="V6" s="2" t="s">
        <v>53</v>
      </c>
      <c r="W6" s="2" t="s">
        <v>40</v>
      </c>
      <c r="X6" s="2" t="s">
        <v>41</v>
      </c>
    </row>
    <row r="7" spans="1:24" hidden="1" x14ac:dyDescent="0.3">
      <c r="A7" s="2">
        <v>5</v>
      </c>
      <c r="B7" s="2" t="s">
        <v>54</v>
      </c>
      <c r="C7" s="1" t="s">
        <v>55</v>
      </c>
      <c r="D7" s="2" t="s">
        <v>31</v>
      </c>
      <c r="E7" s="2" t="s">
        <v>32</v>
      </c>
      <c r="F7" s="2" t="s">
        <v>33</v>
      </c>
      <c r="G7" s="2" t="s">
        <v>56</v>
      </c>
      <c r="I7" s="2" t="s">
        <v>57</v>
      </c>
      <c r="J7" s="2" t="s">
        <v>36</v>
      </c>
      <c r="N7" s="2" t="s">
        <v>36</v>
      </c>
      <c r="O7" s="3">
        <v>4.17</v>
      </c>
      <c r="P7" s="3">
        <f t="array" ref="P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4.17</v>
      </c>
      <c r="Q7" s="48">
        <v>43185</v>
      </c>
      <c r="R7" s="3" t="s">
        <v>37</v>
      </c>
      <c r="S7" s="3" t="s">
        <v>38</v>
      </c>
      <c r="T7" s="48">
        <v>43185</v>
      </c>
      <c r="U7" s="47">
        <v>46140</v>
      </c>
      <c r="V7" s="2" t="s">
        <v>46</v>
      </c>
      <c r="W7" s="2" t="s">
        <v>40</v>
      </c>
      <c r="X7" s="2" t="s">
        <v>41</v>
      </c>
    </row>
    <row r="8" spans="1:24" hidden="1" x14ac:dyDescent="0.3">
      <c r="A8" s="2">
        <v>6</v>
      </c>
      <c r="B8" s="2" t="s">
        <v>58</v>
      </c>
      <c r="C8" s="1" t="s">
        <v>59</v>
      </c>
      <c r="D8" s="2" t="s">
        <v>31</v>
      </c>
      <c r="E8" s="2" t="s">
        <v>32</v>
      </c>
      <c r="F8" s="2" t="s">
        <v>33</v>
      </c>
      <c r="G8" s="2" t="s">
        <v>60</v>
      </c>
      <c r="I8" s="2" t="s">
        <v>61</v>
      </c>
      <c r="J8" s="2" t="s">
        <v>36</v>
      </c>
      <c r="N8" s="2" t="s">
        <v>36</v>
      </c>
      <c r="O8" s="3">
        <v>4.17</v>
      </c>
      <c r="P8" s="3">
        <f t="array" ref="P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4.17</v>
      </c>
      <c r="Q8" s="48">
        <v>43185</v>
      </c>
      <c r="R8" s="3" t="s">
        <v>37</v>
      </c>
      <c r="S8" s="3" t="s">
        <v>38</v>
      </c>
      <c r="T8" s="48">
        <v>43185</v>
      </c>
      <c r="U8" s="47">
        <v>46140</v>
      </c>
      <c r="V8" s="2" t="s">
        <v>39</v>
      </c>
      <c r="W8" s="2" t="s">
        <v>40</v>
      </c>
      <c r="X8" s="2" t="s">
        <v>41</v>
      </c>
    </row>
    <row r="9" spans="1:24" hidden="1" x14ac:dyDescent="0.3">
      <c r="A9" s="2">
        <v>7</v>
      </c>
      <c r="B9" s="2" t="s">
        <v>62</v>
      </c>
      <c r="C9" s="1" t="s">
        <v>63</v>
      </c>
      <c r="D9" s="2" t="s">
        <v>31</v>
      </c>
      <c r="E9" s="2" t="s">
        <v>32</v>
      </c>
      <c r="F9" s="2" t="s">
        <v>33</v>
      </c>
      <c r="G9" s="2" t="s">
        <v>64</v>
      </c>
      <c r="I9" s="2" t="s">
        <v>61</v>
      </c>
      <c r="J9" s="2" t="s">
        <v>36</v>
      </c>
      <c r="N9" s="2" t="s">
        <v>36</v>
      </c>
      <c r="O9" s="3">
        <v>4.17</v>
      </c>
      <c r="P9" s="3">
        <f t="array" ref="P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4.17</v>
      </c>
      <c r="Q9" s="48">
        <v>43185</v>
      </c>
      <c r="R9" s="3" t="s">
        <v>37</v>
      </c>
      <c r="S9" s="3" t="s">
        <v>38</v>
      </c>
      <c r="T9" s="48">
        <v>43185</v>
      </c>
      <c r="U9" s="47">
        <v>46140</v>
      </c>
      <c r="V9" s="2" t="s">
        <v>46</v>
      </c>
      <c r="W9" s="2" t="s">
        <v>40</v>
      </c>
      <c r="X9" s="2" t="s">
        <v>41</v>
      </c>
    </row>
    <row r="10" spans="1:24" hidden="1" x14ac:dyDescent="0.3">
      <c r="A10" s="2">
        <v>8</v>
      </c>
      <c r="B10" s="2" t="s">
        <v>65</v>
      </c>
      <c r="C10" s="1" t="s">
        <v>66</v>
      </c>
      <c r="D10" s="2" t="s">
        <v>31</v>
      </c>
      <c r="E10" s="2" t="s">
        <v>32</v>
      </c>
      <c r="F10" s="2" t="s">
        <v>33</v>
      </c>
      <c r="G10" s="2" t="s">
        <v>67</v>
      </c>
      <c r="I10" s="2" t="s">
        <v>68</v>
      </c>
      <c r="J10" s="2" t="s">
        <v>36</v>
      </c>
      <c r="N10" s="2" t="s">
        <v>36</v>
      </c>
      <c r="O10" s="3">
        <v>4.62</v>
      </c>
      <c r="P10" s="3">
        <f t="array" ref="P1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4.62</v>
      </c>
      <c r="Q10" s="48">
        <v>43185</v>
      </c>
      <c r="R10" s="3" t="s">
        <v>37</v>
      </c>
      <c r="S10" s="3" t="s">
        <v>38</v>
      </c>
      <c r="T10" s="48">
        <v>43185</v>
      </c>
      <c r="U10" s="47">
        <v>46140</v>
      </c>
      <c r="V10" s="2" t="s">
        <v>69</v>
      </c>
      <c r="W10" s="2" t="s">
        <v>40</v>
      </c>
      <c r="X10" s="2" t="s">
        <v>41</v>
      </c>
    </row>
    <row r="11" spans="1:24" hidden="1" x14ac:dyDescent="0.3">
      <c r="A11" s="2">
        <v>9</v>
      </c>
      <c r="B11" s="2" t="s">
        <v>70</v>
      </c>
      <c r="C11" s="1" t="s">
        <v>71</v>
      </c>
      <c r="D11" s="2" t="s">
        <v>31</v>
      </c>
      <c r="E11" s="2" t="s">
        <v>32</v>
      </c>
      <c r="F11" s="2" t="s">
        <v>33</v>
      </c>
      <c r="G11" s="2" t="s">
        <v>72</v>
      </c>
      <c r="I11" s="2" t="s">
        <v>73</v>
      </c>
      <c r="J11" s="2" t="s">
        <v>36</v>
      </c>
      <c r="N11" s="2" t="s">
        <v>36</v>
      </c>
      <c r="O11" s="3">
        <v>4.62</v>
      </c>
      <c r="P11" s="3">
        <f t="array" ref="P1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4.62</v>
      </c>
      <c r="Q11" s="48">
        <v>43185</v>
      </c>
      <c r="R11" s="3" t="s">
        <v>37</v>
      </c>
      <c r="S11" s="3" t="s">
        <v>38</v>
      </c>
      <c r="T11" s="48">
        <v>43185</v>
      </c>
      <c r="U11" s="47">
        <v>46140</v>
      </c>
      <c r="V11" s="2" t="s">
        <v>39</v>
      </c>
      <c r="W11" s="2" t="s">
        <v>40</v>
      </c>
      <c r="X11" s="2" t="s">
        <v>41</v>
      </c>
    </row>
    <row r="12" spans="1:24" hidden="1" x14ac:dyDescent="0.3">
      <c r="A12" s="2">
        <v>10</v>
      </c>
      <c r="B12" s="2" t="s">
        <v>74</v>
      </c>
      <c r="C12" s="1" t="s">
        <v>75</v>
      </c>
      <c r="D12" s="2" t="s">
        <v>31</v>
      </c>
      <c r="E12" s="2" t="s">
        <v>32</v>
      </c>
      <c r="F12" s="2" t="s">
        <v>33</v>
      </c>
      <c r="G12" s="2" t="s">
        <v>76</v>
      </c>
      <c r="I12" s="2" t="s">
        <v>77</v>
      </c>
      <c r="J12" s="2" t="s">
        <v>36</v>
      </c>
      <c r="N12" s="2" t="s">
        <v>36</v>
      </c>
      <c r="O12" s="3">
        <v>4.62</v>
      </c>
      <c r="P12" s="3">
        <f t="array" ref="P1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4.62</v>
      </c>
      <c r="Q12" s="48">
        <v>43185</v>
      </c>
      <c r="R12" s="3" t="s">
        <v>37</v>
      </c>
      <c r="S12" s="3" t="s">
        <v>38</v>
      </c>
      <c r="T12" s="48">
        <v>43185</v>
      </c>
      <c r="U12" s="47">
        <v>46140</v>
      </c>
      <c r="V12" s="2" t="s">
        <v>69</v>
      </c>
      <c r="W12" s="2" t="s">
        <v>40</v>
      </c>
      <c r="X12" s="2" t="s">
        <v>41</v>
      </c>
    </row>
    <row r="13" spans="1:24" hidden="1" x14ac:dyDescent="0.3">
      <c r="A13" s="2">
        <v>11</v>
      </c>
      <c r="B13" s="2" t="s">
        <v>78</v>
      </c>
      <c r="C13" s="1" t="s">
        <v>79</v>
      </c>
      <c r="D13" s="2" t="s">
        <v>31</v>
      </c>
      <c r="E13" s="2" t="s">
        <v>32</v>
      </c>
      <c r="F13" s="2" t="s">
        <v>33</v>
      </c>
      <c r="G13" s="2" t="s">
        <v>80</v>
      </c>
      <c r="I13" s="2" t="s">
        <v>81</v>
      </c>
      <c r="J13" s="2" t="s">
        <v>36</v>
      </c>
      <c r="N13" s="2" t="s">
        <v>36</v>
      </c>
      <c r="O13" s="3">
        <v>4.17</v>
      </c>
      <c r="P13" s="3">
        <f t="array" ref="P1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4.17</v>
      </c>
      <c r="Q13" s="48">
        <v>43185</v>
      </c>
      <c r="R13" s="3" t="s">
        <v>37</v>
      </c>
      <c r="S13" s="3" t="s">
        <v>38</v>
      </c>
      <c r="T13" s="48">
        <v>43185</v>
      </c>
      <c r="U13" s="47">
        <v>46140</v>
      </c>
      <c r="V13" s="2" t="s">
        <v>69</v>
      </c>
      <c r="W13" s="2" t="s">
        <v>40</v>
      </c>
      <c r="X13" s="2" t="s">
        <v>41</v>
      </c>
    </row>
    <row r="14" spans="1:24" hidden="1" x14ac:dyDescent="0.3">
      <c r="A14" s="2">
        <v>12</v>
      </c>
      <c r="B14" s="2" t="s">
        <v>82</v>
      </c>
      <c r="C14" s="1" t="s">
        <v>83</v>
      </c>
      <c r="D14" s="2" t="s">
        <v>31</v>
      </c>
      <c r="E14" s="2" t="s">
        <v>32</v>
      </c>
      <c r="F14" s="2" t="s">
        <v>33</v>
      </c>
      <c r="G14" s="2" t="s">
        <v>84</v>
      </c>
      <c r="I14" s="2" t="s">
        <v>85</v>
      </c>
      <c r="J14" s="2" t="s">
        <v>36</v>
      </c>
      <c r="N14" s="2" t="s">
        <v>36</v>
      </c>
      <c r="O14" s="3">
        <v>4.6399999999999997</v>
      </c>
      <c r="P14" s="3">
        <f t="array" ref="P1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4.6399999999999997</v>
      </c>
      <c r="Q14" s="48">
        <v>43185</v>
      </c>
      <c r="R14" s="3" t="s">
        <v>37</v>
      </c>
      <c r="S14" s="3" t="s">
        <v>38</v>
      </c>
      <c r="T14" s="48">
        <v>43185</v>
      </c>
      <c r="U14" s="47">
        <v>46140</v>
      </c>
      <c r="V14" s="2" t="s">
        <v>39</v>
      </c>
      <c r="W14" s="2" t="s">
        <v>40</v>
      </c>
      <c r="X14" s="2" t="s">
        <v>41</v>
      </c>
    </row>
    <row r="15" spans="1:24" hidden="1" x14ac:dyDescent="0.3">
      <c r="A15" s="2">
        <v>13</v>
      </c>
      <c r="B15" s="2" t="s">
        <v>86</v>
      </c>
      <c r="C15" s="1" t="s">
        <v>87</v>
      </c>
      <c r="D15" s="2" t="s">
        <v>88</v>
      </c>
      <c r="E15" s="2" t="s">
        <v>32</v>
      </c>
      <c r="F15" s="2" t="s">
        <v>88</v>
      </c>
      <c r="G15" s="2" t="s">
        <v>87</v>
      </c>
      <c r="J15" s="2" t="s">
        <v>89</v>
      </c>
      <c r="N15" s="2" t="s">
        <v>89</v>
      </c>
      <c r="O15" s="3">
        <v>35</v>
      </c>
      <c r="P15" s="3">
        <f t="array" ref="P1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35</v>
      </c>
      <c r="Q15" s="48">
        <v>43185</v>
      </c>
      <c r="R15" s="3" t="s">
        <v>37</v>
      </c>
      <c r="S15" s="3" t="s">
        <v>38</v>
      </c>
      <c r="T15" s="48">
        <v>43185</v>
      </c>
      <c r="U15" s="47">
        <v>46140</v>
      </c>
      <c r="V15" s="2" t="s">
        <v>90</v>
      </c>
      <c r="W15" s="2" t="s">
        <v>40</v>
      </c>
      <c r="X15" s="2" t="s">
        <v>41</v>
      </c>
    </row>
    <row r="16" spans="1:24" hidden="1" x14ac:dyDescent="0.3">
      <c r="A16" s="2">
        <v>14</v>
      </c>
      <c r="B16" s="2" t="s">
        <v>91</v>
      </c>
      <c r="C16" s="1" t="s">
        <v>92</v>
      </c>
      <c r="D16" s="2" t="s">
        <v>88</v>
      </c>
      <c r="E16" s="2" t="s">
        <v>32</v>
      </c>
      <c r="F16" s="2" t="s">
        <v>88</v>
      </c>
      <c r="G16" s="2" t="s">
        <v>92</v>
      </c>
      <c r="J16" s="2" t="s">
        <v>89</v>
      </c>
      <c r="N16" s="2" t="s">
        <v>89</v>
      </c>
      <c r="O16" s="3">
        <v>35</v>
      </c>
      <c r="P16" s="3">
        <f t="array" ref="P1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35</v>
      </c>
      <c r="Q16" s="48">
        <v>43185</v>
      </c>
      <c r="R16" s="3" t="s">
        <v>37</v>
      </c>
      <c r="S16" s="3" t="s">
        <v>38</v>
      </c>
      <c r="T16" s="48">
        <v>43185</v>
      </c>
      <c r="U16" s="47">
        <v>46140</v>
      </c>
      <c r="V16" s="2" t="s">
        <v>90</v>
      </c>
      <c r="W16" s="2" t="s">
        <v>40</v>
      </c>
      <c r="X16" s="2" t="s">
        <v>41</v>
      </c>
    </row>
    <row r="17" spans="1:24" hidden="1" x14ac:dyDescent="0.3">
      <c r="A17" s="2">
        <v>15</v>
      </c>
      <c r="B17" s="2" t="s">
        <v>93</v>
      </c>
      <c r="C17" s="1" t="s">
        <v>94</v>
      </c>
      <c r="D17" s="2" t="s">
        <v>88</v>
      </c>
      <c r="E17" s="2" t="s">
        <v>32</v>
      </c>
      <c r="F17" s="2" t="s">
        <v>88</v>
      </c>
      <c r="G17" s="2" t="s">
        <v>95</v>
      </c>
      <c r="I17" s="2" t="s">
        <v>96</v>
      </c>
      <c r="J17" s="2" t="s">
        <v>89</v>
      </c>
      <c r="N17" s="2" t="s">
        <v>89</v>
      </c>
      <c r="O17" s="3">
        <v>3.13</v>
      </c>
      <c r="P17" s="3">
        <f t="array" ref="P1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3.13</v>
      </c>
      <c r="Q17" s="48">
        <v>43185</v>
      </c>
      <c r="R17" s="3" t="s">
        <v>37</v>
      </c>
      <c r="S17" s="3" t="s">
        <v>38</v>
      </c>
      <c r="T17" s="48">
        <v>43185</v>
      </c>
      <c r="U17" s="47">
        <v>46140</v>
      </c>
      <c r="V17" s="2" t="s">
        <v>97</v>
      </c>
      <c r="W17" s="2" t="s">
        <v>40</v>
      </c>
      <c r="X17" s="2" t="s">
        <v>41</v>
      </c>
    </row>
    <row r="18" spans="1:24" hidden="1" x14ac:dyDescent="0.3">
      <c r="A18" s="2">
        <v>16</v>
      </c>
      <c r="B18" s="2" t="s">
        <v>98</v>
      </c>
      <c r="C18" s="1" t="s">
        <v>99</v>
      </c>
      <c r="D18" s="2" t="s">
        <v>88</v>
      </c>
      <c r="E18" s="2" t="s">
        <v>32</v>
      </c>
      <c r="F18" s="2" t="s">
        <v>88</v>
      </c>
      <c r="G18" s="2" t="s">
        <v>100</v>
      </c>
      <c r="J18" s="2" t="s">
        <v>89</v>
      </c>
      <c r="N18" s="2" t="s">
        <v>89</v>
      </c>
      <c r="O18" s="3">
        <v>2</v>
      </c>
      <c r="P18" s="3">
        <f t="array" ref="P1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</v>
      </c>
      <c r="Q18" s="48">
        <v>43185</v>
      </c>
      <c r="R18" s="3" t="s">
        <v>37</v>
      </c>
      <c r="S18" s="3" t="s">
        <v>38</v>
      </c>
      <c r="T18" s="48">
        <v>43185</v>
      </c>
      <c r="U18" s="47">
        <v>46140</v>
      </c>
      <c r="V18" s="2" t="s">
        <v>90</v>
      </c>
      <c r="W18" s="2" t="s">
        <v>40</v>
      </c>
      <c r="X18" s="2" t="s">
        <v>41</v>
      </c>
    </row>
    <row r="19" spans="1:24" hidden="1" x14ac:dyDescent="0.3">
      <c r="A19" s="2">
        <v>17</v>
      </c>
      <c r="B19" s="2" t="s">
        <v>101</v>
      </c>
      <c r="C19" s="1" t="s">
        <v>102</v>
      </c>
      <c r="D19" s="2" t="s">
        <v>88</v>
      </c>
      <c r="E19" s="2" t="s">
        <v>32</v>
      </c>
      <c r="F19" s="2" t="s">
        <v>88</v>
      </c>
      <c r="G19" s="2" t="s">
        <v>102</v>
      </c>
      <c r="J19" s="2" t="s">
        <v>89</v>
      </c>
      <c r="N19" s="2" t="s">
        <v>89</v>
      </c>
      <c r="O19" s="3">
        <v>45</v>
      </c>
      <c r="P19" s="3">
        <f t="array" ref="P1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45</v>
      </c>
      <c r="Q19" s="48">
        <v>43185</v>
      </c>
      <c r="R19" s="3" t="s">
        <v>37</v>
      </c>
      <c r="S19" s="3" t="s">
        <v>38</v>
      </c>
      <c r="T19" s="48">
        <v>43185</v>
      </c>
      <c r="U19" s="47">
        <v>46140</v>
      </c>
      <c r="V19" s="2" t="s">
        <v>90</v>
      </c>
      <c r="W19" s="2" t="s">
        <v>40</v>
      </c>
      <c r="X19" s="2" t="s">
        <v>41</v>
      </c>
    </row>
    <row r="20" spans="1:24" hidden="1" x14ac:dyDescent="0.3">
      <c r="A20" s="2">
        <v>18</v>
      </c>
      <c r="B20" s="2" t="s">
        <v>103</v>
      </c>
      <c r="C20" s="1" t="s">
        <v>104</v>
      </c>
      <c r="D20" s="2" t="s">
        <v>88</v>
      </c>
      <c r="E20" s="2" t="s">
        <v>32</v>
      </c>
      <c r="F20" s="2" t="s">
        <v>88</v>
      </c>
      <c r="G20" s="2" t="s">
        <v>105</v>
      </c>
      <c r="J20" s="2" t="s">
        <v>89</v>
      </c>
      <c r="N20" s="2" t="s">
        <v>89</v>
      </c>
      <c r="O20" s="3">
        <v>18</v>
      </c>
      <c r="P20" s="3">
        <f t="array" ref="P2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18</v>
      </c>
      <c r="Q20" s="48">
        <v>43185</v>
      </c>
      <c r="R20" s="3" t="s">
        <v>37</v>
      </c>
      <c r="S20" s="3" t="s">
        <v>38</v>
      </c>
      <c r="T20" s="48">
        <v>43185</v>
      </c>
      <c r="U20" s="47">
        <v>46140</v>
      </c>
      <c r="V20" s="2" t="s">
        <v>90</v>
      </c>
      <c r="W20" s="2" t="s">
        <v>40</v>
      </c>
      <c r="X20" s="2" t="s">
        <v>41</v>
      </c>
    </row>
    <row r="21" spans="1:24" hidden="1" x14ac:dyDescent="0.3">
      <c r="A21" s="2">
        <v>19</v>
      </c>
      <c r="B21" s="2" t="s">
        <v>106</v>
      </c>
      <c r="C21" s="1" t="s">
        <v>105</v>
      </c>
      <c r="D21" s="2" t="s">
        <v>88</v>
      </c>
      <c r="E21" s="2" t="s">
        <v>32</v>
      </c>
      <c r="F21" s="2" t="s">
        <v>88</v>
      </c>
      <c r="G21" s="2" t="s">
        <v>104</v>
      </c>
      <c r="J21" s="2" t="s">
        <v>89</v>
      </c>
      <c r="N21" s="2" t="s">
        <v>89</v>
      </c>
      <c r="O21" s="3">
        <v>35</v>
      </c>
      <c r="P21" s="3">
        <f t="array" ref="P2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35</v>
      </c>
      <c r="Q21" s="48">
        <v>43185</v>
      </c>
      <c r="R21" s="3" t="s">
        <v>37</v>
      </c>
      <c r="S21" s="3" t="s">
        <v>38</v>
      </c>
      <c r="T21" s="48">
        <v>43185</v>
      </c>
      <c r="U21" s="47">
        <v>46140</v>
      </c>
      <c r="V21" s="2" t="s">
        <v>90</v>
      </c>
      <c r="W21" s="2" t="s">
        <v>40</v>
      </c>
      <c r="X21" s="2" t="s">
        <v>41</v>
      </c>
    </row>
    <row r="22" spans="1:24" hidden="1" x14ac:dyDescent="0.3">
      <c r="A22" s="2">
        <v>20</v>
      </c>
      <c r="B22" s="2" t="s">
        <v>107</v>
      </c>
      <c r="C22" s="1" t="s">
        <v>108</v>
      </c>
      <c r="D22" s="2" t="s">
        <v>88</v>
      </c>
      <c r="E22" s="2" t="s">
        <v>32</v>
      </c>
      <c r="F22" s="2" t="s">
        <v>88</v>
      </c>
      <c r="G22" s="2" t="s">
        <v>108</v>
      </c>
      <c r="J22" s="2" t="s">
        <v>89</v>
      </c>
      <c r="N22" s="2" t="s">
        <v>89</v>
      </c>
      <c r="O22" s="3">
        <v>25</v>
      </c>
      <c r="P22" s="3">
        <f t="array" ref="P2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25</v>
      </c>
      <c r="Q22" s="48">
        <v>43185</v>
      </c>
      <c r="R22" s="3" t="s">
        <v>37</v>
      </c>
      <c r="S22" s="3" t="s">
        <v>38</v>
      </c>
      <c r="T22" s="48">
        <v>43185</v>
      </c>
      <c r="U22" s="47">
        <v>46140</v>
      </c>
      <c r="V22" s="2" t="s">
        <v>90</v>
      </c>
      <c r="W22" s="2" t="s">
        <v>40</v>
      </c>
      <c r="X22" s="2" t="s">
        <v>41</v>
      </c>
    </row>
    <row r="23" spans="1:24" hidden="1" x14ac:dyDescent="0.3">
      <c r="A23" s="2">
        <v>21</v>
      </c>
      <c r="B23" s="2" t="s">
        <v>109</v>
      </c>
      <c r="C23" s="1" t="s">
        <v>110</v>
      </c>
      <c r="D23" s="2" t="s">
        <v>88</v>
      </c>
      <c r="E23" s="2" t="s">
        <v>32</v>
      </c>
      <c r="F23" s="2" t="s">
        <v>88</v>
      </c>
      <c r="G23" s="2" t="s">
        <v>110</v>
      </c>
      <c r="J23" s="2" t="s">
        <v>89</v>
      </c>
      <c r="N23" s="2" t="s">
        <v>89</v>
      </c>
      <c r="O23" s="3">
        <v>48</v>
      </c>
      <c r="P23" s="3">
        <f t="array" ref="P2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48</v>
      </c>
      <c r="Q23" s="48">
        <v>43185</v>
      </c>
      <c r="R23" s="3" t="s">
        <v>37</v>
      </c>
      <c r="S23" s="3" t="s">
        <v>38</v>
      </c>
      <c r="T23" s="48">
        <v>43185</v>
      </c>
      <c r="U23" s="47">
        <v>46140</v>
      </c>
      <c r="V23" s="2" t="s">
        <v>90</v>
      </c>
      <c r="W23" s="2" t="s">
        <v>40</v>
      </c>
      <c r="X23" s="2" t="s">
        <v>41</v>
      </c>
    </row>
    <row r="24" spans="1:24" hidden="1" x14ac:dyDescent="0.3">
      <c r="A24" s="2">
        <v>22</v>
      </c>
      <c r="B24" s="2" t="s">
        <v>111</v>
      </c>
      <c r="C24" s="1" t="s">
        <v>112</v>
      </c>
      <c r="D24" s="2" t="s">
        <v>88</v>
      </c>
      <c r="E24" s="2" t="s">
        <v>32</v>
      </c>
      <c r="F24" s="2" t="s">
        <v>88</v>
      </c>
      <c r="G24" s="2" t="s">
        <v>113</v>
      </c>
      <c r="I24" s="2" t="s">
        <v>114</v>
      </c>
      <c r="J24" s="2" t="s">
        <v>89</v>
      </c>
      <c r="N24" s="2" t="s">
        <v>89</v>
      </c>
      <c r="O24" s="3">
        <v>22</v>
      </c>
      <c r="P24" s="3">
        <f t="array" ref="P2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22</v>
      </c>
      <c r="Q24" s="48">
        <v>43185</v>
      </c>
      <c r="R24" s="3" t="s">
        <v>37</v>
      </c>
      <c r="S24" s="3" t="s">
        <v>38</v>
      </c>
      <c r="T24" s="48">
        <v>43185</v>
      </c>
      <c r="U24" s="47">
        <v>46140</v>
      </c>
      <c r="V24" s="2" t="s">
        <v>97</v>
      </c>
      <c r="W24" s="2" t="s">
        <v>40</v>
      </c>
      <c r="X24" s="2" t="s">
        <v>41</v>
      </c>
    </row>
    <row r="25" spans="1:24" hidden="1" x14ac:dyDescent="0.3">
      <c r="A25" s="2">
        <v>23</v>
      </c>
      <c r="B25" s="2" t="s">
        <v>115</v>
      </c>
      <c r="C25" s="1" t="s">
        <v>116</v>
      </c>
      <c r="D25" s="2" t="s">
        <v>88</v>
      </c>
      <c r="E25" s="2" t="s">
        <v>32</v>
      </c>
      <c r="F25" s="2" t="s">
        <v>88</v>
      </c>
      <c r="G25" s="2" t="s">
        <v>116</v>
      </c>
      <c r="J25" s="2" t="s">
        <v>89</v>
      </c>
      <c r="N25" s="2" t="s">
        <v>89</v>
      </c>
      <c r="O25" s="3">
        <v>2.5</v>
      </c>
      <c r="P25" s="3">
        <f t="array" ref="P2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2.5</v>
      </c>
      <c r="Q25" s="48">
        <v>43185</v>
      </c>
      <c r="R25" s="3" t="s">
        <v>37</v>
      </c>
      <c r="S25" s="3" t="s">
        <v>38</v>
      </c>
      <c r="T25" s="48">
        <v>43185</v>
      </c>
      <c r="U25" s="47">
        <v>46140</v>
      </c>
      <c r="V25" s="2" t="s">
        <v>90</v>
      </c>
      <c r="W25" s="2" t="s">
        <v>40</v>
      </c>
      <c r="X25" s="2" t="s">
        <v>41</v>
      </c>
    </row>
    <row r="26" spans="1:24" hidden="1" x14ac:dyDescent="0.3">
      <c r="A26" s="44">
        <v>24</v>
      </c>
      <c r="B26" s="44" t="s">
        <v>117</v>
      </c>
      <c r="C26" s="45" t="s">
        <v>118</v>
      </c>
      <c r="D26" s="44" t="s">
        <v>119</v>
      </c>
      <c r="E26" s="44" t="s">
        <v>120</v>
      </c>
      <c r="F26" s="44" t="s">
        <v>121</v>
      </c>
      <c r="G26" s="44" t="s">
        <v>122</v>
      </c>
      <c r="H26" s="2" t="s">
        <v>123</v>
      </c>
      <c r="I26" s="44" t="s">
        <v>124</v>
      </c>
      <c r="J26" s="44" t="s">
        <v>125</v>
      </c>
      <c r="K26" s="1" t="s">
        <v>126</v>
      </c>
      <c r="N26" s="44" t="s">
        <v>127</v>
      </c>
      <c r="O26" s="46">
        <v>5.74</v>
      </c>
      <c r="P26" s="46">
        <f t="array" ref="P2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5.74</v>
      </c>
      <c r="Q26" s="48">
        <v>46141</v>
      </c>
      <c r="R26" s="46" t="s">
        <v>128</v>
      </c>
      <c r="S26" s="46" t="s">
        <v>38</v>
      </c>
      <c r="T26" s="48">
        <v>46141</v>
      </c>
      <c r="U26" s="48">
        <v>46141</v>
      </c>
      <c r="V26" s="44" t="s">
        <v>129</v>
      </c>
      <c r="W26" s="44" t="s">
        <v>40</v>
      </c>
      <c r="X26" s="44" t="s">
        <v>37</v>
      </c>
    </row>
    <row r="27" spans="1:24" hidden="1" x14ac:dyDescent="0.3">
      <c r="A27" s="44">
        <v>25</v>
      </c>
      <c r="B27" s="44" t="s">
        <v>130</v>
      </c>
      <c r="C27" s="45" t="s">
        <v>131</v>
      </c>
      <c r="D27" s="44" t="s">
        <v>119</v>
      </c>
      <c r="E27" s="44" t="s">
        <v>120</v>
      </c>
      <c r="F27" s="44" t="s">
        <v>121</v>
      </c>
      <c r="G27" s="44" t="s">
        <v>122</v>
      </c>
      <c r="H27" s="2" t="s">
        <v>123</v>
      </c>
      <c r="I27" s="44" t="s">
        <v>124</v>
      </c>
      <c r="J27" s="44" t="s">
        <v>125</v>
      </c>
      <c r="K27" s="1" t="s">
        <v>132</v>
      </c>
      <c r="N27" s="44" t="s">
        <v>127</v>
      </c>
      <c r="O27" s="46">
        <v>9.81</v>
      </c>
      <c r="P27" s="46">
        <f t="array" ref="P2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9.81</v>
      </c>
      <c r="Q27" s="48">
        <v>46141</v>
      </c>
      <c r="R27" s="46" t="s">
        <v>128</v>
      </c>
      <c r="S27" s="46" t="s">
        <v>38</v>
      </c>
      <c r="T27" s="48">
        <v>46141</v>
      </c>
      <c r="U27" s="48">
        <v>46141</v>
      </c>
      <c r="V27" s="44" t="s">
        <v>133</v>
      </c>
      <c r="W27" s="44" t="s">
        <v>40</v>
      </c>
      <c r="X27" s="44" t="s">
        <v>37</v>
      </c>
    </row>
    <row r="28" spans="1:24" hidden="1" x14ac:dyDescent="0.3">
      <c r="A28" s="44">
        <v>26</v>
      </c>
      <c r="B28" s="44" t="s">
        <v>134</v>
      </c>
      <c r="C28" s="45" t="s">
        <v>135</v>
      </c>
      <c r="D28" s="44" t="s">
        <v>119</v>
      </c>
      <c r="E28" s="44" t="s">
        <v>120</v>
      </c>
      <c r="F28" s="44" t="s">
        <v>121</v>
      </c>
      <c r="G28" s="44" t="s">
        <v>122</v>
      </c>
      <c r="H28" s="2" t="s">
        <v>123</v>
      </c>
      <c r="I28" s="44" t="s">
        <v>124</v>
      </c>
      <c r="J28" s="44" t="s">
        <v>125</v>
      </c>
      <c r="K28" s="1" t="s">
        <v>136</v>
      </c>
      <c r="N28" s="44" t="s">
        <v>127</v>
      </c>
      <c r="O28" s="46">
        <v>17.940000000000001</v>
      </c>
      <c r="P28" s="46">
        <f t="array" ref="P2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17.940000000000001</v>
      </c>
      <c r="Q28" s="48">
        <v>46141</v>
      </c>
      <c r="R28" s="46" t="s">
        <v>128</v>
      </c>
      <c r="S28" s="46" t="s">
        <v>38</v>
      </c>
      <c r="T28" s="48">
        <v>46141</v>
      </c>
      <c r="U28" s="48">
        <v>46141</v>
      </c>
      <c r="V28" s="44" t="s">
        <v>137</v>
      </c>
      <c r="W28" s="44" t="s">
        <v>40</v>
      </c>
      <c r="X28" s="44" t="s">
        <v>37</v>
      </c>
    </row>
    <row r="29" spans="1:24" hidden="1" x14ac:dyDescent="0.3">
      <c r="A29" s="44">
        <v>27</v>
      </c>
      <c r="B29" s="44" t="s">
        <v>138</v>
      </c>
      <c r="C29" s="45" t="s">
        <v>139</v>
      </c>
      <c r="D29" s="44" t="s">
        <v>119</v>
      </c>
      <c r="E29" s="44" t="s">
        <v>120</v>
      </c>
      <c r="F29" s="44" t="s">
        <v>140</v>
      </c>
      <c r="G29" s="44" t="s">
        <v>141</v>
      </c>
      <c r="H29" s="2" t="s">
        <v>123</v>
      </c>
      <c r="I29" s="44" t="s">
        <v>142</v>
      </c>
      <c r="J29" s="44" t="s">
        <v>143</v>
      </c>
      <c r="K29" s="1" t="s">
        <v>126</v>
      </c>
      <c r="N29" s="44" t="s">
        <v>127</v>
      </c>
      <c r="O29" s="46">
        <v>0.53</v>
      </c>
      <c r="P29" s="46">
        <f t="array" ref="P2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0.53</v>
      </c>
      <c r="Q29" s="48">
        <v>46141</v>
      </c>
      <c r="R29" s="46" t="s">
        <v>128</v>
      </c>
      <c r="S29" s="46" t="s">
        <v>38</v>
      </c>
      <c r="T29" s="48">
        <v>46141</v>
      </c>
      <c r="U29" s="48">
        <v>46141</v>
      </c>
      <c r="V29" s="44" t="s">
        <v>144</v>
      </c>
      <c r="W29" s="44" t="s">
        <v>40</v>
      </c>
      <c r="X29" s="44" t="s">
        <v>37</v>
      </c>
    </row>
    <row r="30" spans="1:24" hidden="1" x14ac:dyDescent="0.3">
      <c r="A30" s="44">
        <v>28</v>
      </c>
      <c r="B30" s="44" t="s">
        <v>145</v>
      </c>
      <c r="C30" s="45" t="s">
        <v>146</v>
      </c>
      <c r="D30" s="44" t="s">
        <v>119</v>
      </c>
      <c r="E30" s="44" t="s">
        <v>120</v>
      </c>
      <c r="F30" s="44" t="s">
        <v>140</v>
      </c>
      <c r="G30" s="44" t="s">
        <v>141</v>
      </c>
      <c r="H30" s="2" t="s">
        <v>123</v>
      </c>
      <c r="I30" s="44" t="s">
        <v>142</v>
      </c>
      <c r="J30" s="44" t="s">
        <v>143</v>
      </c>
      <c r="K30" s="1" t="s">
        <v>132</v>
      </c>
      <c r="N30" s="44" t="s">
        <v>127</v>
      </c>
      <c r="O30" s="46">
        <v>0.72</v>
      </c>
      <c r="P30" s="46">
        <f t="array" ref="P3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0.72</v>
      </c>
      <c r="Q30" s="48">
        <v>46141</v>
      </c>
      <c r="R30" s="46" t="s">
        <v>128</v>
      </c>
      <c r="S30" s="46" t="s">
        <v>38</v>
      </c>
      <c r="T30" s="48">
        <v>46141</v>
      </c>
      <c r="U30" s="48">
        <v>46141</v>
      </c>
      <c r="V30" s="44" t="s">
        <v>147</v>
      </c>
      <c r="W30" s="44" t="s">
        <v>40</v>
      </c>
      <c r="X30" s="44" t="s">
        <v>37</v>
      </c>
    </row>
    <row r="31" spans="1:24" hidden="1" x14ac:dyDescent="0.3">
      <c r="A31" s="44">
        <v>29</v>
      </c>
      <c r="B31" s="44" t="s">
        <v>148</v>
      </c>
      <c r="C31" s="45" t="s">
        <v>149</v>
      </c>
      <c r="D31" s="44" t="s">
        <v>119</v>
      </c>
      <c r="E31" s="44" t="s">
        <v>120</v>
      </c>
      <c r="F31" s="44" t="s">
        <v>140</v>
      </c>
      <c r="G31" s="44" t="s">
        <v>141</v>
      </c>
      <c r="H31" s="2" t="s">
        <v>123</v>
      </c>
      <c r="I31" s="44" t="s">
        <v>142</v>
      </c>
      <c r="J31" s="44" t="s">
        <v>143</v>
      </c>
      <c r="K31" s="1" t="s">
        <v>136</v>
      </c>
      <c r="N31" s="44" t="s">
        <v>127</v>
      </c>
      <c r="O31" s="46">
        <v>1.27</v>
      </c>
      <c r="P31" s="46">
        <f t="array" ref="P3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1.27</v>
      </c>
      <c r="Q31" s="48">
        <v>46141</v>
      </c>
      <c r="R31" s="46" t="s">
        <v>128</v>
      </c>
      <c r="S31" s="46" t="s">
        <v>38</v>
      </c>
      <c r="T31" s="48">
        <v>46141</v>
      </c>
      <c r="U31" s="48">
        <v>46141</v>
      </c>
      <c r="V31" s="44" t="s">
        <v>150</v>
      </c>
      <c r="W31" s="44" t="s">
        <v>40</v>
      </c>
      <c r="X31" s="44" t="s">
        <v>37</v>
      </c>
    </row>
    <row r="32" spans="1:24" hidden="1" x14ac:dyDescent="0.3">
      <c r="A32" s="44">
        <v>30</v>
      </c>
      <c r="B32" s="44" t="s">
        <v>151</v>
      </c>
      <c r="C32" s="45" t="s">
        <v>152</v>
      </c>
      <c r="D32" s="44" t="s">
        <v>119</v>
      </c>
      <c r="E32" s="44" t="s">
        <v>120</v>
      </c>
      <c r="F32" s="44" t="s">
        <v>140</v>
      </c>
      <c r="G32" s="44" t="s">
        <v>153</v>
      </c>
      <c r="H32" s="2" t="s">
        <v>123</v>
      </c>
      <c r="I32" s="44" t="s">
        <v>124</v>
      </c>
      <c r="J32" s="44" t="s">
        <v>143</v>
      </c>
      <c r="K32" s="1" t="s">
        <v>126</v>
      </c>
      <c r="N32" s="44" t="s">
        <v>127</v>
      </c>
      <c r="O32" s="46">
        <v>0.61</v>
      </c>
      <c r="P32" s="46">
        <f t="array" ref="P3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0.61</v>
      </c>
      <c r="Q32" s="48">
        <v>46141</v>
      </c>
      <c r="R32" s="46" t="s">
        <v>128</v>
      </c>
      <c r="S32" s="46" t="s">
        <v>38</v>
      </c>
      <c r="T32" s="48">
        <v>46141</v>
      </c>
      <c r="U32" s="48">
        <v>46141</v>
      </c>
      <c r="V32" s="44" t="s">
        <v>154</v>
      </c>
      <c r="W32" s="44" t="s">
        <v>40</v>
      </c>
      <c r="X32" s="44" t="s">
        <v>37</v>
      </c>
    </row>
    <row r="33" spans="1:24" hidden="1" x14ac:dyDescent="0.3">
      <c r="A33" s="44">
        <v>31</v>
      </c>
      <c r="B33" s="44" t="s">
        <v>155</v>
      </c>
      <c r="C33" s="45" t="s">
        <v>156</v>
      </c>
      <c r="D33" s="44" t="s">
        <v>119</v>
      </c>
      <c r="E33" s="44" t="s">
        <v>120</v>
      </c>
      <c r="F33" s="44" t="s">
        <v>140</v>
      </c>
      <c r="G33" s="44" t="s">
        <v>153</v>
      </c>
      <c r="H33" s="2" t="s">
        <v>123</v>
      </c>
      <c r="I33" s="44" t="s">
        <v>124</v>
      </c>
      <c r="J33" s="44" t="s">
        <v>143</v>
      </c>
      <c r="K33" s="1" t="s">
        <v>132</v>
      </c>
      <c r="N33" s="44" t="s">
        <v>127</v>
      </c>
      <c r="O33" s="46">
        <v>0.83</v>
      </c>
      <c r="P33" s="46">
        <f t="array" ref="P3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0.83</v>
      </c>
      <c r="Q33" s="48">
        <v>46141</v>
      </c>
      <c r="R33" s="46" t="s">
        <v>128</v>
      </c>
      <c r="S33" s="46" t="s">
        <v>38</v>
      </c>
      <c r="T33" s="48">
        <v>46141</v>
      </c>
      <c r="U33" s="48">
        <v>46141</v>
      </c>
      <c r="V33" s="44" t="s">
        <v>157</v>
      </c>
      <c r="W33" s="44" t="s">
        <v>40</v>
      </c>
      <c r="X33" s="44" t="s">
        <v>37</v>
      </c>
    </row>
    <row r="34" spans="1:24" hidden="1" x14ac:dyDescent="0.3">
      <c r="A34" s="44">
        <v>32</v>
      </c>
      <c r="B34" s="44" t="s">
        <v>158</v>
      </c>
      <c r="C34" s="45" t="s">
        <v>159</v>
      </c>
      <c r="D34" s="44" t="s">
        <v>119</v>
      </c>
      <c r="E34" s="44" t="s">
        <v>120</v>
      </c>
      <c r="F34" s="44" t="s">
        <v>140</v>
      </c>
      <c r="G34" s="44" t="s">
        <v>153</v>
      </c>
      <c r="H34" s="2" t="s">
        <v>160</v>
      </c>
      <c r="I34" s="44" t="s">
        <v>124</v>
      </c>
      <c r="J34" s="44" t="s">
        <v>143</v>
      </c>
      <c r="K34" s="1" t="s">
        <v>136</v>
      </c>
      <c r="N34" s="44" t="s">
        <v>127</v>
      </c>
      <c r="O34" s="46">
        <v>0.9</v>
      </c>
      <c r="P34" s="46">
        <f t="array" ref="P3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0.9</v>
      </c>
      <c r="Q34" s="48">
        <v>46141</v>
      </c>
      <c r="R34" s="46" t="s">
        <v>128</v>
      </c>
      <c r="S34" s="46" t="s">
        <v>38</v>
      </c>
      <c r="T34" s="48">
        <v>46141</v>
      </c>
      <c r="U34" s="48">
        <v>46141</v>
      </c>
      <c r="V34" s="44" t="s">
        <v>161</v>
      </c>
      <c r="W34" s="44" t="s">
        <v>40</v>
      </c>
      <c r="X34" s="44" t="s">
        <v>37</v>
      </c>
    </row>
    <row r="35" spans="1:24" hidden="1" x14ac:dyDescent="0.3">
      <c r="A35" s="44">
        <v>33</v>
      </c>
      <c r="B35" s="44" t="s">
        <v>162</v>
      </c>
      <c r="C35" s="45" t="s">
        <v>163</v>
      </c>
      <c r="D35" s="44" t="s">
        <v>119</v>
      </c>
      <c r="E35" s="44" t="s">
        <v>120</v>
      </c>
      <c r="F35" s="44" t="s">
        <v>140</v>
      </c>
      <c r="G35" s="44" t="s">
        <v>164</v>
      </c>
      <c r="H35" s="2" t="s">
        <v>123</v>
      </c>
      <c r="I35" s="44" t="s">
        <v>124</v>
      </c>
      <c r="J35" s="44" t="s">
        <v>143</v>
      </c>
      <c r="K35" s="1" t="s">
        <v>126</v>
      </c>
      <c r="N35" s="44" t="s">
        <v>127</v>
      </c>
      <c r="O35" s="46">
        <v>0.49</v>
      </c>
      <c r="P35" s="46">
        <f t="array" ref="P3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0.49</v>
      </c>
      <c r="Q35" s="48">
        <v>46141</v>
      </c>
      <c r="R35" s="46" t="s">
        <v>128</v>
      </c>
      <c r="S35" s="46" t="s">
        <v>38</v>
      </c>
      <c r="T35" s="48">
        <v>46141</v>
      </c>
      <c r="U35" s="48">
        <v>46141</v>
      </c>
      <c r="V35" s="44" t="s">
        <v>165</v>
      </c>
      <c r="W35" s="44" t="s">
        <v>40</v>
      </c>
      <c r="X35" s="44" t="s">
        <v>37</v>
      </c>
    </row>
    <row r="36" spans="1:24" hidden="1" x14ac:dyDescent="0.3">
      <c r="A36" s="44">
        <v>34</v>
      </c>
      <c r="B36" s="44" t="s">
        <v>166</v>
      </c>
      <c r="C36" s="45" t="s">
        <v>167</v>
      </c>
      <c r="D36" s="44" t="s">
        <v>119</v>
      </c>
      <c r="E36" s="44" t="s">
        <v>120</v>
      </c>
      <c r="F36" s="44" t="s">
        <v>140</v>
      </c>
      <c r="G36" s="44" t="s">
        <v>164</v>
      </c>
      <c r="H36" s="2" t="s">
        <v>123</v>
      </c>
      <c r="I36" s="44" t="s">
        <v>124</v>
      </c>
      <c r="J36" s="44" t="s">
        <v>143</v>
      </c>
      <c r="K36" s="1" t="s">
        <v>132</v>
      </c>
      <c r="N36" s="44" t="s">
        <v>127</v>
      </c>
      <c r="O36" s="46">
        <v>0.51</v>
      </c>
      <c r="P36" s="46">
        <f t="array" ref="P3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0.51</v>
      </c>
      <c r="Q36" s="48">
        <v>46141</v>
      </c>
      <c r="R36" s="46" t="s">
        <v>128</v>
      </c>
      <c r="S36" s="46" t="s">
        <v>38</v>
      </c>
      <c r="T36" s="48">
        <v>46141</v>
      </c>
      <c r="U36" s="48">
        <v>46141</v>
      </c>
      <c r="V36" s="44" t="s">
        <v>168</v>
      </c>
      <c r="W36" s="44" t="s">
        <v>40</v>
      </c>
      <c r="X36" s="44" t="s">
        <v>37</v>
      </c>
    </row>
    <row r="37" spans="1:24" hidden="1" x14ac:dyDescent="0.3">
      <c r="A37" s="44">
        <v>35</v>
      </c>
      <c r="B37" s="44" t="s">
        <v>169</v>
      </c>
      <c r="C37" s="45" t="s">
        <v>170</v>
      </c>
      <c r="D37" s="44" t="s">
        <v>119</v>
      </c>
      <c r="E37" s="44" t="s">
        <v>120</v>
      </c>
      <c r="F37" s="44" t="s">
        <v>140</v>
      </c>
      <c r="G37" s="44" t="s">
        <v>164</v>
      </c>
      <c r="H37" s="2" t="s">
        <v>160</v>
      </c>
      <c r="I37" s="44" t="s">
        <v>124</v>
      </c>
      <c r="J37" s="44" t="s">
        <v>143</v>
      </c>
      <c r="K37" s="1" t="s">
        <v>136</v>
      </c>
      <c r="N37" s="44" t="s">
        <v>127</v>
      </c>
      <c r="O37" s="46">
        <v>0.4</v>
      </c>
      <c r="P37" s="46">
        <f t="array" ref="P3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0.4</v>
      </c>
      <c r="Q37" s="48">
        <v>46141</v>
      </c>
      <c r="R37" s="46" t="s">
        <v>128</v>
      </c>
      <c r="S37" s="46" t="s">
        <v>38</v>
      </c>
      <c r="T37" s="48">
        <v>46141</v>
      </c>
      <c r="U37" s="48">
        <v>46141</v>
      </c>
      <c r="V37" s="44" t="s">
        <v>171</v>
      </c>
      <c r="W37" s="44" t="s">
        <v>40</v>
      </c>
      <c r="X37" s="44" t="s">
        <v>37</v>
      </c>
    </row>
    <row r="38" spans="1:24" hidden="1" x14ac:dyDescent="0.3">
      <c r="A38" s="44">
        <v>36</v>
      </c>
      <c r="B38" s="44" t="s">
        <v>172</v>
      </c>
      <c r="C38" s="49" t="s">
        <v>173</v>
      </c>
      <c r="D38" s="44" t="s">
        <v>119</v>
      </c>
      <c r="E38" s="44" t="s">
        <v>120</v>
      </c>
      <c r="F38" s="44" t="s">
        <v>140</v>
      </c>
      <c r="G38" s="44" t="s">
        <v>174</v>
      </c>
      <c r="H38" s="2" t="s">
        <v>123</v>
      </c>
      <c r="I38" s="44" t="s">
        <v>124</v>
      </c>
      <c r="J38" s="44" t="s">
        <v>143</v>
      </c>
      <c r="K38" s="1" t="s">
        <v>175</v>
      </c>
      <c r="N38" s="44" t="s">
        <v>127</v>
      </c>
      <c r="O38" s="46">
        <v>0.7</v>
      </c>
      <c r="P38" s="46">
        <f t="array" ref="P3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0.7</v>
      </c>
      <c r="Q38" s="48">
        <v>46141</v>
      </c>
      <c r="R38" s="46" t="s">
        <v>128</v>
      </c>
      <c r="S38" s="46" t="s">
        <v>38</v>
      </c>
      <c r="T38" s="48">
        <v>46141</v>
      </c>
      <c r="U38" s="48">
        <v>46141</v>
      </c>
      <c r="V38" s="44" t="s">
        <v>176</v>
      </c>
      <c r="W38" s="44" t="s">
        <v>40</v>
      </c>
      <c r="X38" s="44" t="s">
        <v>37</v>
      </c>
    </row>
    <row r="39" spans="1:24" hidden="1" x14ac:dyDescent="0.3">
      <c r="A39" s="44">
        <v>37</v>
      </c>
      <c r="B39" s="44" t="s">
        <v>177</v>
      </c>
      <c r="C39" s="49" t="s">
        <v>178</v>
      </c>
      <c r="D39" s="44" t="s">
        <v>119</v>
      </c>
      <c r="E39" s="44" t="s">
        <v>120</v>
      </c>
      <c r="F39" s="44" t="s">
        <v>140</v>
      </c>
      <c r="G39" s="44" t="s">
        <v>174</v>
      </c>
      <c r="H39" s="2" t="s">
        <v>123</v>
      </c>
      <c r="I39" s="44" t="s">
        <v>124</v>
      </c>
      <c r="J39" s="44" t="s">
        <v>143</v>
      </c>
      <c r="K39" s="1" t="s">
        <v>179</v>
      </c>
      <c r="N39" s="44" t="s">
        <v>127</v>
      </c>
      <c r="O39" s="46">
        <v>1.05</v>
      </c>
      <c r="P39" s="46">
        <f t="array" ref="P3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1.05</v>
      </c>
      <c r="Q39" s="48">
        <v>46141</v>
      </c>
      <c r="R39" s="46" t="s">
        <v>128</v>
      </c>
      <c r="S39" s="46" t="s">
        <v>38</v>
      </c>
      <c r="T39" s="48">
        <v>46141</v>
      </c>
      <c r="U39" s="48">
        <v>46141</v>
      </c>
      <c r="V39" s="44" t="s">
        <v>180</v>
      </c>
      <c r="W39" s="44" t="s">
        <v>40</v>
      </c>
      <c r="X39" s="44" t="s">
        <v>37</v>
      </c>
    </row>
    <row r="40" spans="1:24" hidden="1" x14ac:dyDescent="0.3">
      <c r="A40" s="44">
        <v>38</v>
      </c>
      <c r="B40" s="44" t="s">
        <v>181</v>
      </c>
      <c r="C40" s="49" t="s">
        <v>182</v>
      </c>
      <c r="D40" s="44" t="s">
        <v>119</v>
      </c>
      <c r="E40" s="44" t="s">
        <v>120</v>
      </c>
      <c r="F40" s="44" t="s">
        <v>140</v>
      </c>
      <c r="G40" s="44" t="s">
        <v>174</v>
      </c>
      <c r="H40" s="2" t="s">
        <v>160</v>
      </c>
      <c r="I40" s="44" t="s">
        <v>124</v>
      </c>
      <c r="J40" s="44" t="s">
        <v>143</v>
      </c>
      <c r="K40" s="1" t="s">
        <v>183</v>
      </c>
      <c r="N40" s="44" t="s">
        <v>127</v>
      </c>
      <c r="O40" s="46">
        <v>0.26</v>
      </c>
      <c r="P40" s="46">
        <f t="array" ref="P4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0.26</v>
      </c>
      <c r="Q40" s="48">
        <v>46141</v>
      </c>
      <c r="R40" s="46" t="s">
        <v>128</v>
      </c>
      <c r="S40" s="46" t="s">
        <v>38</v>
      </c>
      <c r="T40" s="48">
        <v>46141</v>
      </c>
      <c r="U40" s="48">
        <v>46141</v>
      </c>
      <c r="V40" s="44" t="s">
        <v>184</v>
      </c>
      <c r="W40" s="44" t="s">
        <v>40</v>
      </c>
      <c r="X40" s="44" t="s">
        <v>37</v>
      </c>
    </row>
    <row r="41" spans="1:24" hidden="1" x14ac:dyDescent="0.3">
      <c r="A41" s="44">
        <v>39</v>
      </c>
      <c r="B41" s="44" t="s">
        <v>185</v>
      </c>
      <c r="C41" s="45" t="s">
        <v>186</v>
      </c>
      <c r="D41" s="44" t="s">
        <v>119</v>
      </c>
      <c r="E41" s="44" t="s">
        <v>120</v>
      </c>
      <c r="F41" s="44" t="s">
        <v>140</v>
      </c>
      <c r="G41" s="44" t="s">
        <v>187</v>
      </c>
      <c r="H41" s="2" t="s">
        <v>123</v>
      </c>
      <c r="I41" s="44" t="s">
        <v>188</v>
      </c>
      <c r="J41" s="44" t="s">
        <v>143</v>
      </c>
      <c r="K41" s="1" t="s">
        <v>189</v>
      </c>
      <c r="N41" s="44" t="s">
        <v>127</v>
      </c>
      <c r="O41" s="46">
        <v>2.62</v>
      </c>
      <c r="P41" s="46">
        <f t="array" ref="P4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2.62</v>
      </c>
      <c r="Q41" s="48">
        <v>46141</v>
      </c>
      <c r="R41" s="46" t="s">
        <v>128</v>
      </c>
      <c r="S41" s="46" t="s">
        <v>38</v>
      </c>
      <c r="T41" s="48">
        <v>46141</v>
      </c>
      <c r="U41" s="48">
        <v>46141</v>
      </c>
      <c r="V41" s="44" t="s">
        <v>190</v>
      </c>
      <c r="W41" s="44" t="s">
        <v>40</v>
      </c>
      <c r="X41" s="44" t="s">
        <v>37</v>
      </c>
    </row>
    <row r="42" spans="1:24" hidden="1" x14ac:dyDescent="0.3">
      <c r="A42" s="44">
        <v>40</v>
      </c>
      <c r="B42" s="44" t="s">
        <v>191</v>
      </c>
      <c r="C42" s="45" t="s">
        <v>192</v>
      </c>
      <c r="D42" s="44" t="s">
        <v>119</v>
      </c>
      <c r="E42" s="44" t="s">
        <v>120</v>
      </c>
      <c r="F42" s="44" t="s">
        <v>140</v>
      </c>
      <c r="G42" s="44" t="s">
        <v>187</v>
      </c>
      <c r="H42" s="2" t="s">
        <v>123</v>
      </c>
      <c r="I42" s="44" t="s">
        <v>193</v>
      </c>
      <c r="J42" s="44" t="s">
        <v>143</v>
      </c>
      <c r="K42" s="1" t="s">
        <v>189</v>
      </c>
      <c r="N42" s="44" t="s">
        <v>127</v>
      </c>
      <c r="O42" s="46">
        <v>2.0099999999999998</v>
      </c>
      <c r="P42" s="46">
        <f t="array" ref="P4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2.0099999999999998</v>
      </c>
      <c r="Q42" s="48">
        <v>46141</v>
      </c>
      <c r="R42" s="46" t="s">
        <v>128</v>
      </c>
      <c r="S42" s="46" t="s">
        <v>38</v>
      </c>
      <c r="T42" s="48">
        <v>46141</v>
      </c>
      <c r="U42" s="48">
        <v>46141</v>
      </c>
      <c r="V42" s="44" t="s">
        <v>194</v>
      </c>
      <c r="W42" s="44" t="s">
        <v>40</v>
      </c>
      <c r="X42" s="44" t="s">
        <v>37</v>
      </c>
    </row>
    <row r="43" spans="1:24" hidden="1" x14ac:dyDescent="0.3">
      <c r="A43" s="44">
        <v>41</v>
      </c>
      <c r="B43" s="44" t="s">
        <v>195</v>
      </c>
      <c r="C43" s="45" t="s">
        <v>196</v>
      </c>
      <c r="D43" s="44" t="s">
        <v>119</v>
      </c>
      <c r="E43" s="44" t="s">
        <v>120</v>
      </c>
      <c r="F43" s="44" t="s">
        <v>140</v>
      </c>
      <c r="G43" s="44" t="s">
        <v>187</v>
      </c>
      <c r="H43" s="2" t="s">
        <v>123</v>
      </c>
      <c r="I43" s="44" t="s">
        <v>193</v>
      </c>
      <c r="J43" s="44" t="s">
        <v>143</v>
      </c>
      <c r="K43" s="1" t="s">
        <v>197</v>
      </c>
      <c r="N43" s="44" t="s">
        <v>127</v>
      </c>
      <c r="O43" s="46">
        <v>3.42</v>
      </c>
      <c r="P43" s="46">
        <f t="array" ref="P4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3.42</v>
      </c>
      <c r="Q43" s="48">
        <v>46141</v>
      </c>
      <c r="R43" s="46" t="s">
        <v>128</v>
      </c>
      <c r="S43" s="46" t="s">
        <v>38</v>
      </c>
      <c r="T43" s="48">
        <v>46141</v>
      </c>
      <c r="U43" s="48">
        <v>46141</v>
      </c>
      <c r="V43" s="44" t="s">
        <v>198</v>
      </c>
      <c r="W43" s="44" t="s">
        <v>40</v>
      </c>
      <c r="X43" s="44" t="s">
        <v>37</v>
      </c>
    </row>
    <row r="44" spans="1:24" hidden="1" x14ac:dyDescent="0.3">
      <c r="A44" s="44">
        <v>42</v>
      </c>
      <c r="B44" s="44" t="s">
        <v>199</v>
      </c>
      <c r="C44" s="45" t="s">
        <v>200</v>
      </c>
      <c r="D44" s="44" t="s">
        <v>119</v>
      </c>
      <c r="E44" s="44" t="s">
        <v>120</v>
      </c>
      <c r="F44" s="44" t="s">
        <v>140</v>
      </c>
      <c r="G44" s="44" t="s">
        <v>187</v>
      </c>
      <c r="H44" s="2" t="s">
        <v>123</v>
      </c>
      <c r="I44" s="44" t="s">
        <v>188</v>
      </c>
      <c r="J44" s="44" t="s">
        <v>143</v>
      </c>
      <c r="K44" s="1" t="s">
        <v>201</v>
      </c>
      <c r="N44" s="44" t="s">
        <v>127</v>
      </c>
      <c r="O44" s="46">
        <v>7.1</v>
      </c>
      <c r="P44" s="46">
        <f t="array" ref="P4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7.1</v>
      </c>
      <c r="Q44" s="48">
        <v>46141</v>
      </c>
      <c r="R44" s="46" t="s">
        <v>128</v>
      </c>
      <c r="S44" s="46" t="s">
        <v>38</v>
      </c>
      <c r="T44" s="48">
        <v>46141</v>
      </c>
      <c r="U44" s="48">
        <v>46141</v>
      </c>
      <c r="V44" s="44" t="s">
        <v>202</v>
      </c>
      <c r="W44" s="44" t="s">
        <v>40</v>
      </c>
      <c r="X44" s="44" t="s">
        <v>37</v>
      </c>
    </row>
    <row r="45" spans="1:24" hidden="1" x14ac:dyDescent="0.3">
      <c r="A45" s="44">
        <v>43</v>
      </c>
      <c r="B45" s="44" t="s">
        <v>203</v>
      </c>
      <c r="C45" s="45" t="s">
        <v>204</v>
      </c>
      <c r="D45" s="44" t="s">
        <v>119</v>
      </c>
      <c r="E45" s="44" t="s">
        <v>120</v>
      </c>
      <c r="F45" s="44" t="s">
        <v>140</v>
      </c>
      <c r="G45" s="44" t="s">
        <v>205</v>
      </c>
      <c r="H45" s="2" t="s">
        <v>123</v>
      </c>
      <c r="I45" s="44" t="s">
        <v>193</v>
      </c>
      <c r="J45" s="44" t="s">
        <v>143</v>
      </c>
      <c r="K45" s="1" t="s">
        <v>126</v>
      </c>
      <c r="N45" s="44" t="s">
        <v>127</v>
      </c>
      <c r="O45" s="46">
        <v>0.56999999999999995</v>
      </c>
      <c r="P45" s="46">
        <f t="array" ref="P4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0.56999999999999995</v>
      </c>
      <c r="Q45" s="48">
        <v>46141</v>
      </c>
      <c r="R45" s="46" t="s">
        <v>128</v>
      </c>
      <c r="S45" s="46" t="s">
        <v>38</v>
      </c>
      <c r="T45" s="48">
        <v>46141</v>
      </c>
      <c r="U45" s="48">
        <v>46141</v>
      </c>
      <c r="V45" s="44" t="s">
        <v>206</v>
      </c>
      <c r="W45" s="44" t="s">
        <v>40</v>
      </c>
      <c r="X45" s="44" t="s">
        <v>37</v>
      </c>
    </row>
    <row r="46" spans="1:24" hidden="1" x14ac:dyDescent="0.3">
      <c r="A46" s="44">
        <v>44</v>
      </c>
      <c r="B46" s="44" t="s">
        <v>207</v>
      </c>
      <c r="C46" s="45" t="s">
        <v>208</v>
      </c>
      <c r="D46" s="44" t="s">
        <v>119</v>
      </c>
      <c r="E46" s="44" t="s">
        <v>120</v>
      </c>
      <c r="F46" s="44" t="s">
        <v>140</v>
      </c>
      <c r="G46" s="44" t="s">
        <v>205</v>
      </c>
      <c r="H46" s="2" t="s">
        <v>123</v>
      </c>
      <c r="I46" s="44" t="s">
        <v>193</v>
      </c>
      <c r="J46" s="44" t="s">
        <v>143</v>
      </c>
      <c r="K46" s="1" t="s">
        <v>136</v>
      </c>
      <c r="N46" s="44" t="s">
        <v>127</v>
      </c>
      <c r="O46" s="46">
        <v>1.02</v>
      </c>
      <c r="P46" s="46">
        <f t="array" ref="P4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1.02</v>
      </c>
      <c r="Q46" s="48">
        <v>46141</v>
      </c>
      <c r="R46" s="46" t="s">
        <v>128</v>
      </c>
      <c r="S46" s="46" t="s">
        <v>38</v>
      </c>
      <c r="T46" s="48">
        <v>46141</v>
      </c>
      <c r="U46" s="48">
        <v>46141</v>
      </c>
      <c r="V46" s="44" t="s">
        <v>209</v>
      </c>
      <c r="W46" s="44" t="s">
        <v>40</v>
      </c>
      <c r="X46" s="44" t="s">
        <v>37</v>
      </c>
    </row>
    <row r="47" spans="1:24" hidden="1" x14ac:dyDescent="0.3">
      <c r="A47" s="44">
        <v>45</v>
      </c>
      <c r="B47" s="44" t="s">
        <v>210</v>
      </c>
      <c r="C47" s="45" t="s">
        <v>211</v>
      </c>
      <c r="D47" s="44" t="s">
        <v>119</v>
      </c>
      <c r="E47" s="44" t="s">
        <v>120</v>
      </c>
      <c r="F47" s="44" t="s">
        <v>121</v>
      </c>
      <c r="G47" s="44" t="s">
        <v>122</v>
      </c>
      <c r="H47" s="2" t="s">
        <v>123</v>
      </c>
      <c r="I47" s="44" t="s">
        <v>212</v>
      </c>
      <c r="J47" s="44" t="s">
        <v>213</v>
      </c>
      <c r="K47" s="1" t="s">
        <v>214</v>
      </c>
      <c r="N47" s="44" t="s">
        <v>127</v>
      </c>
      <c r="O47" s="46">
        <v>3.86</v>
      </c>
      <c r="P47" s="46">
        <f t="array" ref="P4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3.86</v>
      </c>
      <c r="Q47" s="48">
        <v>46141</v>
      </c>
      <c r="R47" s="46" t="s">
        <v>128</v>
      </c>
      <c r="S47" s="46" t="s">
        <v>38</v>
      </c>
      <c r="T47" s="48">
        <v>46141</v>
      </c>
      <c r="U47" s="48">
        <v>46141</v>
      </c>
      <c r="V47" s="44" t="s">
        <v>215</v>
      </c>
      <c r="W47" s="44" t="s">
        <v>40</v>
      </c>
      <c r="X47" s="44" t="s">
        <v>37</v>
      </c>
    </row>
    <row r="48" spans="1:24" hidden="1" x14ac:dyDescent="0.3">
      <c r="A48" s="44">
        <v>46</v>
      </c>
      <c r="B48" s="44" t="s">
        <v>216</v>
      </c>
      <c r="C48" s="45" t="s">
        <v>217</v>
      </c>
      <c r="D48" s="44" t="s">
        <v>119</v>
      </c>
      <c r="E48" s="44" t="s">
        <v>120</v>
      </c>
      <c r="F48" s="44" t="s">
        <v>121</v>
      </c>
      <c r="G48" s="44" t="s">
        <v>122</v>
      </c>
      <c r="H48" s="2" t="s">
        <v>123</v>
      </c>
      <c r="I48" s="44" t="s">
        <v>212</v>
      </c>
      <c r="J48" s="44" t="s">
        <v>213</v>
      </c>
      <c r="K48" s="1" t="s">
        <v>218</v>
      </c>
      <c r="N48" s="44" t="s">
        <v>127</v>
      </c>
      <c r="O48" s="46">
        <v>7.05</v>
      </c>
      <c r="P48" s="46">
        <f t="array" ref="P4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7.05</v>
      </c>
      <c r="Q48" s="48">
        <v>46141</v>
      </c>
      <c r="R48" s="46" t="s">
        <v>128</v>
      </c>
      <c r="S48" s="46" t="s">
        <v>38</v>
      </c>
      <c r="T48" s="48">
        <v>46141</v>
      </c>
      <c r="U48" s="48">
        <v>46141</v>
      </c>
      <c r="V48" s="44" t="s">
        <v>219</v>
      </c>
      <c r="W48" s="44" t="s">
        <v>40</v>
      </c>
      <c r="X48" s="44" t="s">
        <v>37</v>
      </c>
    </row>
    <row r="49" spans="1:24" hidden="1" x14ac:dyDescent="0.3">
      <c r="A49" s="44">
        <v>47</v>
      </c>
      <c r="B49" s="44" t="s">
        <v>220</v>
      </c>
      <c r="C49" s="45" t="s">
        <v>221</v>
      </c>
      <c r="D49" s="44" t="s">
        <v>119</v>
      </c>
      <c r="E49" s="44" t="s">
        <v>120</v>
      </c>
      <c r="F49" s="44" t="s">
        <v>121</v>
      </c>
      <c r="G49" s="44" t="s">
        <v>122</v>
      </c>
      <c r="H49" s="2" t="s">
        <v>123</v>
      </c>
      <c r="I49" s="44" t="s">
        <v>212</v>
      </c>
      <c r="J49" s="44" t="s">
        <v>213</v>
      </c>
      <c r="K49" s="1" t="s">
        <v>222</v>
      </c>
      <c r="N49" s="44" t="s">
        <v>127</v>
      </c>
      <c r="O49" s="46">
        <v>9.5299999999999994</v>
      </c>
      <c r="P49" s="46">
        <f t="array" ref="P4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9.5299999999999994</v>
      </c>
      <c r="Q49" s="48">
        <v>46141</v>
      </c>
      <c r="R49" s="46" t="s">
        <v>128</v>
      </c>
      <c r="S49" s="46" t="s">
        <v>38</v>
      </c>
      <c r="T49" s="48">
        <v>46141</v>
      </c>
      <c r="U49" s="48">
        <v>46141</v>
      </c>
      <c r="V49" s="44" t="s">
        <v>223</v>
      </c>
      <c r="W49" s="44" t="s">
        <v>40</v>
      </c>
      <c r="X49" s="44" t="s">
        <v>37</v>
      </c>
    </row>
    <row r="50" spans="1:24" hidden="1" x14ac:dyDescent="0.3">
      <c r="A50" s="44">
        <v>48</v>
      </c>
      <c r="B50" s="44" t="s">
        <v>224</v>
      </c>
      <c r="C50" s="45" t="s">
        <v>225</v>
      </c>
      <c r="D50" s="44" t="s">
        <v>119</v>
      </c>
      <c r="E50" s="44" t="s">
        <v>120</v>
      </c>
      <c r="F50" s="44" t="s">
        <v>140</v>
      </c>
      <c r="G50" s="44" t="s">
        <v>141</v>
      </c>
      <c r="H50" s="2" t="s">
        <v>123</v>
      </c>
      <c r="I50" s="44" t="s">
        <v>226</v>
      </c>
      <c r="J50" s="44" t="s">
        <v>143</v>
      </c>
      <c r="K50" s="1" t="s">
        <v>214</v>
      </c>
      <c r="N50" s="44" t="s">
        <v>127</v>
      </c>
      <c r="O50" s="46">
        <v>0.86</v>
      </c>
      <c r="P50" s="46">
        <f t="array" ref="P5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0.86</v>
      </c>
      <c r="Q50" s="48">
        <v>46141</v>
      </c>
      <c r="R50" s="46" t="s">
        <v>128</v>
      </c>
      <c r="S50" s="46" t="s">
        <v>38</v>
      </c>
      <c r="T50" s="48">
        <v>46141</v>
      </c>
      <c r="U50" s="48">
        <v>46141</v>
      </c>
      <c r="V50" s="44" t="s">
        <v>227</v>
      </c>
      <c r="W50" s="44" t="s">
        <v>40</v>
      </c>
      <c r="X50" s="44" t="s">
        <v>37</v>
      </c>
    </row>
    <row r="51" spans="1:24" hidden="1" x14ac:dyDescent="0.3">
      <c r="A51" s="44">
        <v>49</v>
      </c>
      <c r="B51" s="44" t="s">
        <v>228</v>
      </c>
      <c r="C51" s="45" t="s">
        <v>229</v>
      </c>
      <c r="D51" s="44" t="s">
        <v>119</v>
      </c>
      <c r="E51" s="44" t="s">
        <v>120</v>
      </c>
      <c r="F51" s="44" t="s">
        <v>140</v>
      </c>
      <c r="G51" s="44" t="s">
        <v>141</v>
      </c>
      <c r="H51" s="2" t="s">
        <v>123</v>
      </c>
      <c r="I51" s="44" t="s">
        <v>226</v>
      </c>
      <c r="J51" s="44" t="s">
        <v>143</v>
      </c>
      <c r="K51" s="1" t="s">
        <v>218</v>
      </c>
      <c r="N51" s="44" t="s">
        <v>127</v>
      </c>
      <c r="O51" s="46">
        <v>1.76</v>
      </c>
      <c r="P51" s="46">
        <f t="array" ref="P5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1.76</v>
      </c>
      <c r="Q51" s="48">
        <v>46141</v>
      </c>
      <c r="R51" s="46" t="s">
        <v>128</v>
      </c>
      <c r="S51" s="46" t="s">
        <v>38</v>
      </c>
      <c r="T51" s="48">
        <v>46141</v>
      </c>
      <c r="U51" s="48">
        <v>46141</v>
      </c>
      <c r="V51" s="44" t="s">
        <v>230</v>
      </c>
      <c r="W51" s="44" t="s">
        <v>40</v>
      </c>
      <c r="X51" s="44" t="s">
        <v>37</v>
      </c>
    </row>
    <row r="52" spans="1:24" hidden="1" x14ac:dyDescent="0.3">
      <c r="A52" s="44">
        <v>50</v>
      </c>
      <c r="B52" s="44" t="s">
        <v>231</v>
      </c>
      <c r="C52" s="45" t="s">
        <v>232</v>
      </c>
      <c r="D52" s="44" t="s">
        <v>119</v>
      </c>
      <c r="E52" s="44" t="s">
        <v>120</v>
      </c>
      <c r="F52" s="44" t="s">
        <v>140</v>
      </c>
      <c r="G52" s="44" t="s">
        <v>141</v>
      </c>
      <c r="H52" s="2" t="s">
        <v>123</v>
      </c>
      <c r="I52" s="44" t="s">
        <v>226</v>
      </c>
      <c r="J52" s="44" t="s">
        <v>143</v>
      </c>
      <c r="K52" s="1" t="s">
        <v>222</v>
      </c>
      <c r="N52" s="44" t="s">
        <v>127</v>
      </c>
      <c r="O52" s="46">
        <v>2.75</v>
      </c>
      <c r="P52" s="46">
        <f t="array" ref="P5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2.75</v>
      </c>
      <c r="Q52" s="48">
        <v>46141</v>
      </c>
      <c r="R52" s="46" t="s">
        <v>128</v>
      </c>
      <c r="S52" s="46" t="s">
        <v>38</v>
      </c>
      <c r="T52" s="48">
        <v>46141</v>
      </c>
      <c r="U52" s="48">
        <v>46141</v>
      </c>
      <c r="V52" s="44" t="s">
        <v>233</v>
      </c>
      <c r="W52" s="44" t="s">
        <v>40</v>
      </c>
      <c r="X52" s="44" t="s">
        <v>37</v>
      </c>
    </row>
    <row r="53" spans="1:24" hidden="1" x14ac:dyDescent="0.3">
      <c r="A53" s="44">
        <v>51</v>
      </c>
      <c r="B53" s="44" t="s">
        <v>234</v>
      </c>
      <c r="C53" s="45" t="s">
        <v>235</v>
      </c>
      <c r="D53" s="44" t="s">
        <v>119</v>
      </c>
      <c r="E53" s="44" t="s">
        <v>120</v>
      </c>
      <c r="F53" s="44" t="s">
        <v>140</v>
      </c>
      <c r="G53" s="44" t="s">
        <v>141</v>
      </c>
      <c r="H53" s="2" t="s">
        <v>123</v>
      </c>
      <c r="I53" s="44" t="s">
        <v>236</v>
      </c>
      <c r="J53" s="44" t="s">
        <v>143</v>
      </c>
      <c r="K53" s="1" t="s">
        <v>214</v>
      </c>
      <c r="N53" s="44" t="s">
        <v>127</v>
      </c>
      <c r="O53" s="46">
        <v>1.04</v>
      </c>
      <c r="P53" s="46">
        <f t="array" ref="P5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1.04</v>
      </c>
      <c r="Q53" s="48">
        <v>46141</v>
      </c>
      <c r="R53" s="46" t="s">
        <v>128</v>
      </c>
      <c r="S53" s="46" t="s">
        <v>38</v>
      </c>
      <c r="T53" s="48">
        <v>46141</v>
      </c>
      <c r="U53" s="48">
        <v>46141</v>
      </c>
      <c r="V53" s="44" t="s">
        <v>237</v>
      </c>
      <c r="W53" s="44" t="s">
        <v>40</v>
      </c>
      <c r="X53" s="44" t="s">
        <v>37</v>
      </c>
    </row>
    <row r="54" spans="1:24" hidden="1" x14ac:dyDescent="0.3">
      <c r="A54" s="44">
        <v>52</v>
      </c>
      <c r="B54" s="44" t="s">
        <v>238</v>
      </c>
      <c r="C54" s="45" t="s">
        <v>239</v>
      </c>
      <c r="D54" s="44" t="s">
        <v>119</v>
      </c>
      <c r="E54" s="44" t="s">
        <v>120</v>
      </c>
      <c r="F54" s="44" t="s">
        <v>140</v>
      </c>
      <c r="G54" s="44" t="s">
        <v>141</v>
      </c>
      <c r="H54" s="2" t="s">
        <v>123</v>
      </c>
      <c r="I54" s="44" t="s">
        <v>236</v>
      </c>
      <c r="J54" s="44" t="s">
        <v>143</v>
      </c>
      <c r="K54" s="1" t="s">
        <v>218</v>
      </c>
      <c r="N54" s="44" t="s">
        <v>127</v>
      </c>
      <c r="O54" s="46">
        <v>2.14</v>
      </c>
      <c r="P54" s="46">
        <f t="array" ref="P5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2.14</v>
      </c>
      <c r="Q54" s="48">
        <v>46141</v>
      </c>
      <c r="R54" s="46" t="s">
        <v>128</v>
      </c>
      <c r="S54" s="46" t="s">
        <v>38</v>
      </c>
      <c r="T54" s="48">
        <v>46141</v>
      </c>
      <c r="U54" s="48">
        <v>46141</v>
      </c>
      <c r="V54" s="44" t="s">
        <v>240</v>
      </c>
      <c r="W54" s="44" t="s">
        <v>40</v>
      </c>
      <c r="X54" s="44" t="s">
        <v>37</v>
      </c>
    </row>
    <row r="55" spans="1:24" hidden="1" x14ac:dyDescent="0.3">
      <c r="A55" s="44">
        <v>53</v>
      </c>
      <c r="B55" s="44" t="s">
        <v>241</v>
      </c>
      <c r="C55" s="45" t="s">
        <v>242</v>
      </c>
      <c r="D55" s="44" t="s">
        <v>119</v>
      </c>
      <c r="E55" s="44" t="s">
        <v>120</v>
      </c>
      <c r="F55" s="44" t="s">
        <v>140</v>
      </c>
      <c r="G55" s="44" t="s">
        <v>141</v>
      </c>
      <c r="H55" s="2" t="s">
        <v>123</v>
      </c>
      <c r="I55" s="44" t="s">
        <v>236</v>
      </c>
      <c r="J55" s="44" t="s">
        <v>143</v>
      </c>
      <c r="K55" s="1" t="s">
        <v>222</v>
      </c>
      <c r="N55" s="44" t="s">
        <v>127</v>
      </c>
      <c r="O55" s="46">
        <v>3.73</v>
      </c>
      <c r="P55" s="46">
        <f t="array" ref="P5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3.73</v>
      </c>
      <c r="Q55" s="48">
        <v>46141</v>
      </c>
      <c r="R55" s="46" t="s">
        <v>128</v>
      </c>
      <c r="S55" s="46" t="s">
        <v>38</v>
      </c>
      <c r="T55" s="48">
        <v>46141</v>
      </c>
      <c r="U55" s="48">
        <v>46141</v>
      </c>
      <c r="V55" s="44" t="s">
        <v>243</v>
      </c>
      <c r="W55" s="44" t="s">
        <v>40</v>
      </c>
      <c r="X55" s="44" t="s">
        <v>37</v>
      </c>
    </row>
    <row r="56" spans="1:24" hidden="1" x14ac:dyDescent="0.3">
      <c r="A56" s="44">
        <v>54</v>
      </c>
      <c r="B56" s="44" t="s">
        <v>244</v>
      </c>
      <c r="C56" s="45" t="s">
        <v>245</v>
      </c>
      <c r="D56" s="44" t="s">
        <v>119</v>
      </c>
      <c r="E56" s="44" t="s">
        <v>120</v>
      </c>
      <c r="F56" s="44" t="s">
        <v>140</v>
      </c>
      <c r="G56" s="44" t="s">
        <v>153</v>
      </c>
      <c r="H56" s="2" t="s">
        <v>123</v>
      </c>
      <c r="I56" s="44" t="s">
        <v>246</v>
      </c>
      <c r="J56" s="44" t="s">
        <v>143</v>
      </c>
      <c r="K56" s="1" t="s">
        <v>214</v>
      </c>
      <c r="N56" s="44" t="s">
        <v>127</v>
      </c>
      <c r="O56" s="46">
        <v>0.97</v>
      </c>
      <c r="P56" s="46">
        <f t="array" ref="P5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0.97</v>
      </c>
      <c r="Q56" s="48">
        <v>46141</v>
      </c>
      <c r="R56" s="46" t="s">
        <v>128</v>
      </c>
      <c r="S56" s="46" t="s">
        <v>38</v>
      </c>
      <c r="T56" s="48">
        <v>46141</v>
      </c>
      <c r="U56" s="48">
        <v>46141</v>
      </c>
      <c r="V56" s="44" t="s">
        <v>247</v>
      </c>
      <c r="W56" s="44" t="s">
        <v>40</v>
      </c>
      <c r="X56" s="44" t="s">
        <v>37</v>
      </c>
    </row>
    <row r="57" spans="1:24" hidden="1" x14ac:dyDescent="0.3">
      <c r="A57" s="44">
        <v>55</v>
      </c>
      <c r="B57" s="44" t="s">
        <v>248</v>
      </c>
      <c r="C57" s="45" t="s">
        <v>249</v>
      </c>
      <c r="D57" s="44" t="s">
        <v>119</v>
      </c>
      <c r="E57" s="44" t="s">
        <v>120</v>
      </c>
      <c r="F57" s="44" t="s">
        <v>140</v>
      </c>
      <c r="G57" s="44" t="s">
        <v>153</v>
      </c>
      <c r="H57" s="2" t="s">
        <v>123</v>
      </c>
      <c r="I57" s="44" t="s">
        <v>246</v>
      </c>
      <c r="J57" s="44" t="s">
        <v>143</v>
      </c>
      <c r="K57" s="1" t="s">
        <v>218</v>
      </c>
      <c r="N57" s="44" t="s">
        <v>127</v>
      </c>
      <c r="O57" s="46">
        <v>2.38</v>
      </c>
      <c r="P57" s="46">
        <f t="array" ref="P5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2.38</v>
      </c>
      <c r="Q57" s="48">
        <v>46141</v>
      </c>
      <c r="R57" s="46" t="s">
        <v>128</v>
      </c>
      <c r="S57" s="46" t="s">
        <v>38</v>
      </c>
      <c r="T57" s="48">
        <v>46141</v>
      </c>
      <c r="U57" s="48">
        <v>46141</v>
      </c>
      <c r="V57" s="44" t="s">
        <v>250</v>
      </c>
      <c r="W57" s="44" t="s">
        <v>40</v>
      </c>
      <c r="X57" s="44" t="s">
        <v>37</v>
      </c>
    </row>
    <row r="58" spans="1:24" hidden="1" x14ac:dyDescent="0.3">
      <c r="A58" s="44">
        <v>56</v>
      </c>
      <c r="B58" s="44" t="s">
        <v>251</v>
      </c>
      <c r="C58" s="45" t="s">
        <v>252</v>
      </c>
      <c r="D58" s="44" t="s">
        <v>119</v>
      </c>
      <c r="E58" s="44" t="s">
        <v>120</v>
      </c>
      <c r="F58" s="44" t="s">
        <v>140</v>
      </c>
      <c r="G58" s="44" t="s">
        <v>153</v>
      </c>
      <c r="H58" s="2" t="s">
        <v>123</v>
      </c>
      <c r="I58" s="44" t="s">
        <v>246</v>
      </c>
      <c r="J58" s="44" t="s">
        <v>143</v>
      </c>
      <c r="K58" s="1" t="s">
        <v>222</v>
      </c>
      <c r="N58" s="44" t="s">
        <v>127</v>
      </c>
      <c r="O58" s="46">
        <v>3.3</v>
      </c>
      <c r="P58" s="46">
        <f t="array" ref="P5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3.3</v>
      </c>
      <c r="Q58" s="48">
        <v>46141</v>
      </c>
      <c r="R58" s="46" t="s">
        <v>128</v>
      </c>
      <c r="S58" s="46" t="s">
        <v>38</v>
      </c>
      <c r="T58" s="48">
        <v>46141</v>
      </c>
      <c r="U58" s="48">
        <v>46141</v>
      </c>
      <c r="V58" s="44" t="s">
        <v>253</v>
      </c>
      <c r="W58" s="44" t="s">
        <v>40</v>
      </c>
      <c r="X58" s="44" t="s">
        <v>37</v>
      </c>
    </row>
    <row r="59" spans="1:24" hidden="1" x14ac:dyDescent="0.3">
      <c r="A59" s="44">
        <v>57</v>
      </c>
      <c r="B59" s="44" t="s">
        <v>254</v>
      </c>
      <c r="C59" s="45" t="s">
        <v>255</v>
      </c>
      <c r="D59" s="44" t="s">
        <v>119</v>
      </c>
      <c r="E59" s="44" t="s">
        <v>120</v>
      </c>
      <c r="F59" s="44" t="s">
        <v>140</v>
      </c>
      <c r="G59" s="44" t="s">
        <v>256</v>
      </c>
      <c r="H59" s="2" t="s">
        <v>123</v>
      </c>
      <c r="I59" s="44" t="s">
        <v>246</v>
      </c>
      <c r="J59" s="44" t="s">
        <v>143</v>
      </c>
      <c r="K59" s="1" t="s">
        <v>214</v>
      </c>
      <c r="N59" s="44" t="s">
        <v>127</v>
      </c>
      <c r="O59" s="46">
        <v>1.37</v>
      </c>
      <c r="P59" s="46">
        <f t="array" ref="P5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1.37</v>
      </c>
      <c r="Q59" s="48">
        <v>46141</v>
      </c>
      <c r="R59" s="46" t="s">
        <v>128</v>
      </c>
      <c r="S59" s="46" t="s">
        <v>38</v>
      </c>
      <c r="T59" s="48">
        <v>46141</v>
      </c>
      <c r="U59" s="48">
        <v>46141</v>
      </c>
      <c r="V59" s="44" t="s">
        <v>257</v>
      </c>
      <c r="W59" s="44" t="s">
        <v>40</v>
      </c>
      <c r="X59" s="44" t="s">
        <v>37</v>
      </c>
    </row>
    <row r="60" spans="1:24" hidden="1" x14ac:dyDescent="0.3">
      <c r="A60" s="44">
        <v>58</v>
      </c>
      <c r="B60" s="44" t="s">
        <v>258</v>
      </c>
      <c r="C60" s="45" t="s">
        <v>259</v>
      </c>
      <c r="D60" s="44" t="s">
        <v>119</v>
      </c>
      <c r="E60" s="44" t="s">
        <v>120</v>
      </c>
      <c r="F60" s="44" t="s">
        <v>140</v>
      </c>
      <c r="G60" s="44" t="s">
        <v>256</v>
      </c>
      <c r="H60" s="2" t="s">
        <v>123</v>
      </c>
      <c r="I60" s="44" t="s">
        <v>246</v>
      </c>
      <c r="J60" s="44" t="s">
        <v>143</v>
      </c>
      <c r="K60" s="1" t="s">
        <v>218</v>
      </c>
      <c r="N60" s="44" t="s">
        <v>127</v>
      </c>
      <c r="O60" s="46">
        <v>3.77</v>
      </c>
      <c r="P60" s="46">
        <f t="array" ref="P6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3.77</v>
      </c>
      <c r="Q60" s="48">
        <v>46141</v>
      </c>
      <c r="R60" s="46" t="s">
        <v>128</v>
      </c>
      <c r="S60" s="46" t="s">
        <v>38</v>
      </c>
      <c r="T60" s="48">
        <v>46141</v>
      </c>
      <c r="U60" s="48">
        <v>46141</v>
      </c>
      <c r="V60" s="44" t="s">
        <v>260</v>
      </c>
      <c r="W60" s="44" t="s">
        <v>40</v>
      </c>
      <c r="X60" s="44" t="s">
        <v>37</v>
      </c>
    </row>
    <row r="61" spans="1:24" hidden="1" x14ac:dyDescent="0.3">
      <c r="A61" s="44">
        <v>59</v>
      </c>
      <c r="B61" s="44" t="s">
        <v>261</v>
      </c>
      <c r="C61" s="45" t="s">
        <v>262</v>
      </c>
      <c r="D61" s="44" t="s">
        <v>119</v>
      </c>
      <c r="E61" s="44" t="s">
        <v>120</v>
      </c>
      <c r="F61" s="44" t="s">
        <v>140</v>
      </c>
      <c r="G61" s="44" t="s">
        <v>256</v>
      </c>
      <c r="H61" s="2" t="s">
        <v>123</v>
      </c>
      <c r="I61" s="44" t="s">
        <v>246</v>
      </c>
      <c r="J61" s="44" t="s">
        <v>143</v>
      </c>
      <c r="K61" s="1" t="s">
        <v>222</v>
      </c>
      <c r="N61" s="44" t="s">
        <v>127</v>
      </c>
      <c r="O61" s="46">
        <v>3.75</v>
      </c>
      <c r="P61" s="46">
        <f t="array" ref="P6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3.75</v>
      </c>
      <c r="Q61" s="48">
        <v>46141</v>
      </c>
      <c r="R61" s="46" t="s">
        <v>128</v>
      </c>
      <c r="S61" s="46" t="s">
        <v>38</v>
      </c>
      <c r="T61" s="48">
        <v>46141</v>
      </c>
      <c r="U61" s="48">
        <v>46141</v>
      </c>
      <c r="V61" s="44" t="s">
        <v>263</v>
      </c>
      <c r="W61" s="44" t="s">
        <v>40</v>
      </c>
      <c r="X61" s="44" t="s">
        <v>37</v>
      </c>
    </row>
    <row r="62" spans="1:24" hidden="1" x14ac:dyDescent="0.3">
      <c r="A62" s="44">
        <v>60</v>
      </c>
      <c r="B62" s="44" t="s">
        <v>264</v>
      </c>
      <c r="C62" s="45" t="s">
        <v>265</v>
      </c>
      <c r="D62" s="44" t="s">
        <v>119</v>
      </c>
      <c r="E62" s="44" t="s">
        <v>120</v>
      </c>
      <c r="F62" s="44" t="s">
        <v>140</v>
      </c>
      <c r="G62" s="44" t="s">
        <v>164</v>
      </c>
      <c r="H62" s="2" t="s">
        <v>123</v>
      </c>
      <c r="I62" s="44" t="s">
        <v>246</v>
      </c>
      <c r="J62" s="44" t="s">
        <v>143</v>
      </c>
      <c r="K62" s="1" t="s">
        <v>214</v>
      </c>
      <c r="N62" s="44" t="s">
        <v>127</v>
      </c>
      <c r="O62" s="46">
        <v>0.81</v>
      </c>
      <c r="P62" s="46">
        <f t="array" ref="P6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0.81</v>
      </c>
      <c r="Q62" s="48">
        <v>46141</v>
      </c>
      <c r="R62" s="46" t="s">
        <v>128</v>
      </c>
      <c r="S62" s="46" t="s">
        <v>38</v>
      </c>
      <c r="T62" s="48">
        <v>46141</v>
      </c>
      <c r="U62" s="48">
        <v>46141</v>
      </c>
      <c r="V62" s="44" t="s">
        <v>266</v>
      </c>
      <c r="W62" s="44" t="s">
        <v>40</v>
      </c>
      <c r="X62" s="44" t="s">
        <v>37</v>
      </c>
    </row>
    <row r="63" spans="1:24" hidden="1" x14ac:dyDescent="0.3">
      <c r="A63" s="44">
        <v>61</v>
      </c>
      <c r="B63" s="44" t="s">
        <v>267</v>
      </c>
      <c r="C63" s="45" t="s">
        <v>268</v>
      </c>
      <c r="D63" s="44" t="s">
        <v>119</v>
      </c>
      <c r="E63" s="44" t="s">
        <v>120</v>
      </c>
      <c r="F63" s="44" t="s">
        <v>140</v>
      </c>
      <c r="G63" s="44" t="s">
        <v>164</v>
      </c>
      <c r="H63" s="2" t="s">
        <v>123</v>
      </c>
      <c r="I63" s="44" t="s">
        <v>246</v>
      </c>
      <c r="J63" s="44" t="s">
        <v>143</v>
      </c>
      <c r="K63" s="1" t="s">
        <v>218</v>
      </c>
      <c r="N63" s="44" t="s">
        <v>127</v>
      </c>
      <c r="O63" s="46">
        <v>1.46</v>
      </c>
      <c r="P63" s="46">
        <f t="array" ref="P6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1.46</v>
      </c>
      <c r="Q63" s="48">
        <v>46141</v>
      </c>
      <c r="R63" s="46" t="s">
        <v>128</v>
      </c>
      <c r="S63" s="46" t="s">
        <v>38</v>
      </c>
      <c r="T63" s="48">
        <v>46141</v>
      </c>
      <c r="U63" s="48">
        <v>46141</v>
      </c>
      <c r="V63" s="44" t="s">
        <v>269</v>
      </c>
      <c r="W63" s="44" t="s">
        <v>40</v>
      </c>
      <c r="X63" s="44" t="s">
        <v>37</v>
      </c>
    </row>
    <row r="64" spans="1:24" hidden="1" x14ac:dyDescent="0.3">
      <c r="A64" s="44">
        <v>62</v>
      </c>
      <c r="B64" s="44" t="s">
        <v>270</v>
      </c>
      <c r="C64" s="45" t="s">
        <v>271</v>
      </c>
      <c r="D64" s="44" t="s">
        <v>119</v>
      </c>
      <c r="E64" s="44" t="s">
        <v>120</v>
      </c>
      <c r="F64" s="44" t="s">
        <v>140</v>
      </c>
      <c r="G64" s="44" t="s">
        <v>164</v>
      </c>
      <c r="H64" s="2" t="s">
        <v>123</v>
      </c>
      <c r="I64" s="44" t="s">
        <v>246</v>
      </c>
      <c r="J64" s="44" t="s">
        <v>143</v>
      </c>
      <c r="K64" s="1" t="s">
        <v>222</v>
      </c>
      <c r="N64" s="44" t="s">
        <v>127</v>
      </c>
      <c r="O64" s="46">
        <v>1.78</v>
      </c>
      <c r="P64" s="46">
        <f t="array" ref="P6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1.78</v>
      </c>
      <c r="Q64" s="48">
        <v>46141</v>
      </c>
      <c r="R64" s="46" t="s">
        <v>128</v>
      </c>
      <c r="S64" s="46" t="s">
        <v>38</v>
      </c>
      <c r="T64" s="48">
        <v>46141</v>
      </c>
      <c r="U64" s="48">
        <v>46141</v>
      </c>
      <c r="V64" s="44" t="s">
        <v>272</v>
      </c>
      <c r="W64" s="44" t="s">
        <v>40</v>
      </c>
      <c r="X64" s="44" t="s">
        <v>37</v>
      </c>
    </row>
    <row r="65" spans="1:24" hidden="1" x14ac:dyDescent="0.3">
      <c r="A65" s="44">
        <v>63</v>
      </c>
      <c r="B65" s="44" t="s">
        <v>273</v>
      </c>
      <c r="C65" s="45" t="s">
        <v>274</v>
      </c>
      <c r="D65" s="44" t="s">
        <v>119</v>
      </c>
      <c r="E65" s="44" t="s">
        <v>120</v>
      </c>
      <c r="F65" s="44" t="s">
        <v>140</v>
      </c>
      <c r="G65" s="44" t="s">
        <v>275</v>
      </c>
      <c r="H65" s="2" t="s">
        <v>123</v>
      </c>
      <c r="I65" s="44" t="s">
        <v>212</v>
      </c>
      <c r="J65" s="44" t="s">
        <v>143</v>
      </c>
      <c r="K65" s="1" t="s">
        <v>214</v>
      </c>
      <c r="N65" s="44" t="s">
        <v>127</v>
      </c>
      <c r="O65" s="46">
        <v>2.92</v>
      </c>
      <c r="P65" s="46">
        <f t="array" ref="P6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2.92</v>
      </c>
      <c r="Q65" s="48">
        <v>46141</v>
      </c>
      <c r="R65" s="46" t="s">
        <v>128</v>
      </c>
      <c r="S65" s="46" t="s">
        <v>38</v>
      </c>
      <c r="T65" s="48">
        <v>46141</v>
      </c>
      <c r="U65" s="48">
        <v>46141</v>
      </c>
      <c r="V65" s="44" t="s">
        <v>276</v>
      </c>
      <c r="W65" s="44" t="s">
        <v>40</v>
      </c>
      <c r="X65" s="44" t="s">
        <v>37</v>
      </c>
    </row>
    <row r="66" spans="1:24" hidden="1" x14ac:dyDescent="0.3">
      <c r="A66" s="44">
        <v>64</v>
      </c>
      <c r="B66" s="44" t="s">
        <v>277</v>
      </c>
      <c r="C66" s="45" t="s">
        <v>278</v>
      </c>
      <c r="D66" s="44" t="s">
        <v>119</v>
      </c>
      <c r="E66" s="44" t="s">
        <v>120</v>
      </c>
      <c r="F66" s="44" t="s">
        <v>140</v>
      </c>
      <c r="G66" s="44" t="s">
        <v>275</v>
      </c>
      <c r="H66" s="2" t="s">
        <v>123</v>
      </c>
      <c r="I66" s="44" t="s">
        <v>212</v>
      </c>
      <c r="J66" s="44" t="s">
        <v>143</v>
      </c>
      <c r="K66" s="1" t="s">
        <v>218</v>
      </c>
      <c r="N66" s="44" t="s">
        <v>127</v>
      </c>
      <c r="O66" s="46">
        <v>5.51</v>
      </c>
      <c r="P66" s="46">
        <f t="array" ref="P6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5.51</v>
      </c>
      <c r="Q66" s="48">
        <v>46141</v>
      </c>
      <c r="R66" s="46" t="s">
        <v>128</v>
      </c>
      <c r="S66" s="46" t="s">
        <v>38</v>
      </c>
      <c r="T66" s="48">
        <v>46141</v>
      </c>
      <c r="U66" s="48">
        <v>46141</v>
      </c>
      <c r="V66" s="44" t="s">
        <v>279</v>
      </c>
      <c r="W66" s="44" t="s">
        <v>40</v>
      </c>
      <c r="X66" s="44" t="s">
        <v>37</v>
      </c>
    </row>
    <row r="67" spans="1:24" hidden="1" x14ac:dyDescent="0.3">
      <c r="A67" s="44">
        <v>65</v>
      </c>
      <c r="B67" s="44" t="s">
        <v>280</v>
      </c>
      <c r="C67" s="45" t="s">
        <v>281</v>
      </c>
      <c r="D67" s="44" t="s">
        <v>119</v>
      </c>
      <c r="E67" s="44" t="s">
        <v>120</v>
      </c>
      <c r="F67" s="44" t="s">
        <v>140</v>
      </c>
      <c r="G67" s="44" t="s">
        <v>275</v>
      </c>
      <c r="H67" s="2" t="s">
        <v>123</v>
      </c>
      <c r="I67" s="44" t="s">
        <v>212</v>
      </c>
      <c r="J67" s="44" t="s">
        <v>143</v>
      </c>
      <c r="K67" s="1" t="s">
        <v>222</v>
      </c>
      <c r="N67" s="44" t="s">
        <v>127</v>
      </c>
      <c r="O67" s="46">
        <v>7.35</v>
      </c>
      <c r="P67" s="46">
        <f t="array" ref="P6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7.35</v>
      </c>
      <c r="Q67" s="48">
        <v>46141</v>
      </c>
      <c r="R67" s="46" t="s">
        <v>128</v>
      </c>
      <c r="S67" s="46" t="s">
        <v>38</v>
      </c>
      <c r="T67" s="48">
        <v>46141</v>
      </c>
      <c r="U67" s="48">
        <v>46141</v>
      </c>
      <c r="V67" s="44" t="s">
        <v>282</v>
      </c>
      <c r="W67" s="44" t="s">
        <v>40</v>
      </c>
      <c r="X67" s="44" t="s">
        <v>37</v>
      </c>
    </row>
    <row r="68" spans="1:24" hidden="1" x14ac:dyDescent="0.3">
      <c r="A68" s="44">
        <v>66</v>
      </c>
      <c r="B68" s="44" t="s">
        <v>283</v>
      </c>
      <c r="C68" s="49" t="s">
        <v>284</v>
      </c>
      <c r="D68" s="44" t="s">
        <v>119</v>
      </c>
      <c r="E68" s="44" t="s">
        <v>120</v>
      </c>
      <c r="F68" s="44" t="s">
        <v>140</v>
      </c>
      <c r="G68" s="44" t="s">
        <v>153</v>
      </c>
      <c r="H68" s="2" t="s">
        <v>123</v>
      </c>
      <c r="I68" s="44" t="s">
        <v>285</v>
      </c>
      <c r="J68" s="44" t="s">
        <v>143</v>
      </c>
      <c r="K68" s="1" t="s">
        <v>286</v>
      </c>
      <c r="N68" s="44" t="s">
        <v>127</v>
      </c>
      <c r="O68" s="46">
        <v>3.33</v>
      </c>
      <c r="P68" s="46">
        <f t="array" ref="P6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3.33</v>
      </c>
      <c r="Q68" s="48">
        <v>46141</v>
      </c>
      <c r="R68" s="46" t="s">
        <v>128</v>
      </c>
      <c r="S68" s="46" t="s">
        <v>38</v>
      </c>
      <c r="T68" s="48">
        <v>46141</v>
      </c>
      <c r="U68" s="48">
        <v>46141</v>
      </c>
      <c r="V68" s="44" t="s">
        <v>287</v>
      </c>
      <c r="W68" s="44" t="s">
        <v>40</v>
      </c>
      <c r="X68" s="44" t="s">
        <v>37</v>
      </c>
    </row>
    <row r="69" spans="1:24" hidden="1" x14ac:dyDescent="0.3">
      <c r="A69" s="44">
        <v>67</v>
      </c>
      <c r="B69" s="44" t="s">
        <v>288</v>
      </c>
      <c r="C69" s="49" t="s">
        <v>289</v>
      </c>
      <c r="D69" s="44" t="s">
        <v>119</v>
      </c>
      <c r="E69" s="44" t="s">
        <v>120</v>
      </c>
      <c r="F69" s="44" t="s">
        <v>140</v>
      </c>
      <c r="G69" s="44" t="s">
        <v>153</v>
      </c>
      <c r="H69" s="2" t="s">
        <v>123</v>
      </c>
      <c r="I69" s="44" t="s">
        <v>285</v>
      </c>
      <c r="J69" s="44" t="s">
        <v>143</v>
      </c>
      <c r="K69" s="1" t="s">
        <v>290</v>
      </c>
      <c r="N69" s="44" t="s">
        <v>127</v>
      </c>
      <c r="O69" s="46">
        <v>2.8</v>
      </c>
      <c r="P69" s="46">
        <f t="array" ref="P6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2.8</v>
      </c>
      <c r="Q69" s="48">
        <v>46141</v>
      </c>
      <c r="R69" s="46" t="s">
        <v>128</v>
      </c>
      <c r="S69" s="46" t="s">
        <v>38</v>
      </c>
      <c r="T69" s="48">
        <v>46141</v>
      </c>
      <c r="U69" s="48">
        <v>46141</v>
      </c>
      <c r="V69" s="44" t="s">
        <v>291</v>
      </c>
      <c r="W69" s="44" t="s">
        <v>40</v>
      </c>
      <c r="X69" s="44" t="s">
        <v>37</v>
      </c>
    </row>
    <row r="70" spans="1:24" hidden="1" x14ac:dyDescent="0.3">
      <c r="A70" s="44">
        <v>68</v>
      </c>
      <c r="B70" s="44" t="s">
        <v>292</v>
      </c>
      <c r="C70" s="49" t="s">
        <v>293</v>
      </c>
      <c r="D70" s="44" t="s">
        <v>119</v>
      </c>
      <c r="E70" s="44" t="s">
        <v>120</v>
      </c>
      <c r="F70" s="44" t="s">
        <v>140</v>
      </c>
      <c r="G70" s="44" t="s">
        <v>153</v>
      </c>
      <c r="H70" s="2" t="s">
        <v>123</v>
      </c>
      <c r="I70" s="44" t="s">
        <v>285</v>
      </c>
      <c r="J70" s="44" t="s">
        <v>143</v>
      </c>
      <c r="K70" s="1" t="s">
        <v>294</v>
      </c>
      <c r="N70" s="44" t="s">
        <v>127</v>
      </c>
      <c r="O70" s="46">
        <v>4.2300000000000004</v>
      </c>
      <c r="P70" s="46">
        <f t="array" ref="P7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4.2300000000000004</v>
      </c>
      <c r="Q70" s="48">
        <v>46141</v>
      </c>
      <c r="R70" s="46" t="s">
        <v>128</v>
      </c>
      <c r="S70" s="46" t="s">
        <v>38</v>
      </c>
      <c r="T70" s="48">
        <v>46141</v>
      </c>
      <c r="U70" s="48">
        <v>46141</v>
      </c>
      <c r="V70" s="44" t="s">
        <v>295</v>
      </c>
      <c r="W70" s="44" t="s">
        <v>40</v>
      </c>
      <c r="X70" s="44" t="s">
        <v>37</v>
      </c>
    </row>
    <row r="71" spans="1:24" hidden="1" x14ac:dyDescent="0.3">
      <c r="A71" s="44">
        <v>69</v>
      </c>
      <c r="B71" s="44" t="s">
        <v>296</v>
      </c>
      <c r="C71" s="49" t="s">
        <v>297</v>
      </c>
      <c r="D71" s="44" t="s">
        <v>119</v>
      </c>
      <c r="E71" s="44" t="s">
        <v>120</v>
      </c>
      <c r="F71" s="44" t="s">
        <v>140</v>
      </c>
      <c r="G71" s="44" t="s">
        <v>256</v>
      </c>
      <c r="H71" s="2" t="s">
        <v>123</v>
      </c>
      <c r="I71" s="44" t="s">
        <v>285</v>
      </c>
      <c r="J71" s="44" t="s">
        <v>143</v>
      </c>
      <c r="K71" s="1" t="s">
        <v>286</v>
      </c>
      <c r="N71" s="44" t="s">
        <v>127</v>
      </c>
      <c r="O71" s="46">
        <v>4.2</v>
      </c>
      <c r="P71" s="46">
        <f t="array" ref="P7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4.2</v>
      </c>
      <c r="Q71" s="48">
        <v>46141</v>
      </c>
      <c r="R71" s="46" t="s">
        <v>128</v>
      </c>
      <c r="S71" s="46" t="s">
        <v>38</v>
      </c>
      <c r="T71" s="48">
        <v>46141</v>
      </c>
      <c r="U71" s="48">
        <v>46141</v>
      </c>
      <c r="V71" s="44" t="s">
        <v>298</v>
      </c>
      <c r="W71" s="44" t="s">
        <v>40</v>
      </c>
      <c r="X71" s="44" t="s">
        <v>37</v>
      </c>
    </row>
    <row r="72" spans="1:24" hidden="1" x14ac:dyDescent="0.3">
      <c r="A72" s="44">
        <v>70</v>
      </c>
      <c r="B72" s="44" t="s">
        <v>299</v>
      </c>
      <c r="C72" s="49" t="s">
        <v>300</v>
      </c>
      <c r="D72" s="44" t="s">
        <v>119</v>
      </c>
      <c r="E72" s="44" t="s">
        <v>120</v>
      </c>
      <c r="F72" s="44" t="s">
        <v>140</v>
      </c>
      <c r="G72" s="44" t="s">
        <v>256</v>
      </c>
      <c r="H72" s="2" t="s">
        <v>123</v>
      </c>
      <c r="I72" s="44" t="s">
        <v>285</v>
      </c>
      <c r="J72" s="44" t="s">
        <v>143</v>
      </c>
      <c r="K72" s="1" t="s">
        <v>290</v>
      </c>
      <c r="N72" s="44" t="s">
        <v>127</v>
      </c>
      <c r="O72" s="46">
        <v>3.3</v>
      </c>
      <c r="P72" s="46">
        <f t="array" ref="P7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3.3</v>
      </c>
      <c r="Q72" s="48">
        <v>46141</v>
      </c>
      <c r="R72" s="46" t="s">
        <v>128</v>
      </c>
      <c r="S72" s="46" t="s">
        <v>38</v>
      </c>
      <c r="T72" s="48">
        <v>46141</v>
      </c>
      <c r="U72" s="48">
        <v>46141</v>
      </c>
      <c r="V72" s="44" t="s">
        <v>301</v>
      </c>
      <c r="W72" s="44" t="s">
        <v>40</v>
      </c>
      <c r="X72" s="44" t="s">
        <v>37</v>
      </c>
    </row>
    <row r="73" spans="1:24" hidden="1" x14ac:dyDescent="0.3">
      <c r="A73" s="44">
        <v>71</v>
      </c>
      <c r="B73" s="44" t="s">
        <v>302</v>
      </c>
      <c r="C73" s="49" t="s">
        <v>303</v>
      </c>
      <c r="D73" s="44" t="s">
        <v>119</v>
      </c>
      <c r="E73" s="44" t="s">
        <v>120</v>
      </c>
      <c r="F73" s="44" t="s">
        <v>140</v>
      </c>
      <c r="G73" s="44" t="s">
        <v>256</v>
      </c>
      <c r="H73" s="2" t="s">
        <v>123</v>
      </c>
      <c r="I73" s="44" t="s">
        <v>285</v>
      </c>
      <c r="J73" s="44" t="s">
        <v>143</v>
      </c>
      <c r="K73" s="1" t="s">
        <v>294</v>
      </c>
      <c r="N73" s="44" t="s">
        <v>127</v>
      </c>
      <c r="O73" s="46">
        <v>7.26</v>
      </c>
      <c r="P73" s="46">
        <f t="array" ref="P7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7.26</v>
      </c>
      <c r="Q73" s="48">
        <v>46141</v>
      </c>
      <c r="R73" s="46" t="s">
        <v>128</v>
      </c>
      <c r="S73" s="46" t="s">
        <v>38</v>
      </c>
      <c r="T73" s="48">
        <v>46141</v>
      </c>
      <c r="U73" s="48">
        <v>46141</v>
      </c>
      <c r="V73" s="44" t="s">
        <v>304</v>
      </c>
      <c r="W73" s="44" t="s">
        <v>40</v>
      </c>
      <c r="X73" s="44" t="s">
        <v>37</v>
      </c>
    </row>
    <row r="74" spans="1:24" hidden="1" x14ac:dyDescent="0.3">
      <c r="A74" s="44">
        <v>72</v>
      </c>
      <c r="B74" s="44" t="s">
        <v>305</v>
      </c>
      <c r="C74" s="49" t="s">
        <v>306</v>
      </c>
      <c r="D74" s="44" t="s">
        <v>119</v>
      </c>
      <c r="E74" s="44" t="s">
        <v>120</v>
      </c>
      <c r="F74" s="44" t="s">
        <v>140</v>
      </c>
      <c r="G74" s="44" t="s">
        <v>141</v>
      </c>
      <c r="H74" s="2" t="s">
        <v>123</v>
      </c>
      <c r="I74" s="44" t="s">
        <v>307</v>
      </c>
      <c r="J74" s="44" t="s">
        <v>143</v>
      </c>
      <c r="K74" s="1" t="s">
        <v>290</v>
      </c>
      <c r="N74" s="44" t="s">
        <v>127</v>
      </c>
      <c r="O74" s="46">
        <v>3.08</v>
      </c>
      <c r="P74" s="46">
        <f t="array" ref="P7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3.08</v>
      </c>
      <c r="Q74" s="48">
        <v>46141</v>
      </c>
      <c r="R74" s="46" t="s">
        <v>128</v>
      </c>
      <c r="S74" s="46" t="s">
        <v>38</v>
      </c>
      <c r="T74" s="48">
        <v>46141</v>
      </c>
      <c r="U74" s="48">
        <v>46141</v>
      </c>
      <c r="V74" s="44" t="s">
        <v>308</v>
      </c>
      <c r="W74" s="44" t="s">
        <v>40</v>
      </c>
      <c r="X74" s="44" t="s">
        <v>37</v>
      </c>
    </row>
    <row r="75" spans="1:24" hidden="1" x14ac:dyDescent="0.3">
      <c r="A75" s="44">
        <v>73</v>
      </c>
      <c r="B75" s="44" t="s">
        <v>309</v>
      </c>
      <c r="C75" s="45" t="s">
        <v>310</v>
      </c>
      <c r="D75" s="44" t="s">
        <v>119</v>
      </c>
      <c r="E75" s="44" t="s">
        <v>120</v>
      </c>
      <c r="F75" s="44" t="s">
        <v>121</v>
      </c>
      <c r="G75" s="44" t="s">
        <v>122</v>
      </c>
      <c r="H75" s="44" t="s">
        <v>123</v>
      </c>
      <c r="I75" s="44" t="s">
        <v>311</v>
      </c>
      <c r="J75" s="44" t="s">
        <v>125</v>
      </c>
      <c r="K75" s="1" t="s">
        <v>132</v>
      </c>
      <c r="N75" s="44" t="s">
        <v>127</v>
      </c>
      <c r="O75" s="46">
        <v>4.3600000000000003</v>
      </c>
      <c r="P75" s="46">
        <f t="array" ref="P7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4.3600000000000003</v>
      </c>
      <c r="Q75" s="48" t="s">
        <v>312</v>
      </c>
      <c r="R75" s="46" t="s">
        <v>128</v>
      </c>
      <c r="S75" s="46" t="s">
        <v>38</v>
      </c>
      <c r="T75" s="48" t="s">
        <v>312</v>
      </c>
      <c r="U75" s="48" t="s">
        <v>312</v>
      </c>
      <c r="V75" s="44" t="s">
        <v>313</v>
      </c>
      <c r="W75" s="44" t="s">
        <v>40</v>
      </c>
      <c r="X75" s="44" t="s">
        <v>37</v>
      </c>
    </row>
    <row r="76" spans="1:24" hidden="1" x14ac:dyDescent="0.3">
      <c r="A76" s="44">
        <v>74</v>
      </c>
      <c r="B76" s="44" t="s">
        <v>314</v>
      </c>
      <c r="C76" s="45" t="s">
        <v>315</v>
      </c>
      <c r="D76" s="44" t="s">
        <v>119</v>
      </c>
      <c r="E76" s="44" t="s">
        <v>120</v>
      </c>
      <c r="F76" s="44" t="s">
        <v>121</v>
      </c>
      <c r="G76" s="44" t="s">
        <v>122</v>
      </c>
      <c r="H76" s="44" t="s">
        <v>123</v>
      </c>
      <c r="I76" s="44" t="s">
        <v>311</v>
      </c>
      <c r="J76" s="44" t="s">
        <v>125</v>
      </c>
      <c r="K76" s="1" t="s">
        <v>214</v>
      </c>
      <c r="N76" s="44" t="s">
        <v>127</v>
      </c>
      <c r="O76" s="46">
        <v>14.88</v>
      </c>
      <c r="P76" s="46">
        <f t="array" ref="P7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14.88</v>
      </c>
      <c r="Q76" s="48" t="s">
        <v>312</v>
      </c>
      <c r="R76" s="46" t="s">
        <v>128</v>
      </c>
      <c r="S76" s="46" t="s">
        <v>38</v>
      </c>
      <c r="T76" s="48" t="s">
        <v>312</v>
      </c>
      <c r="U76" s="48" t="s">
        <v>312</v>
      </c>
      <c r="V76" s="44" t="s">
        <v>316</v>
      </c>
      <c r="W76" s="44" t="s">
        <v>40</v>
      </c>
      <c r="X76" s="44" t="s">
        <v>37</v>
      </c>
    </row>
    <row r="77" spans="1:24" hidden="1" x14ac:dyDescent="0.3">
      <c r="A77" s="44">
        <v>75</v>
      </c>
      <c r="B77" s="44" t="s">
        <v>317</v>
      </c>
      <c r="C77" s="45" t="s">
        <v>318</v>
      </c>
      <c r="D77" s="44" t="s">
        <v>119</v>
      </c>
      <c r="E77" s="44" t="s">
        <v>120</v>
      </c>
      <c r="F77" s="44" t="s">
        <v>140</v>
      </c>
      <c r="G77" s="44" t="s">
        <v>141</v>
      </c>
      <c r="H77" s="44" t="s">
        <v>123</v>
      </c>
      <c r="I77" s="44" t="s">
        <v>319</v>
      </c>
      <c r="J77" s="44" t="s">
        <v>143</v>
      </c>
      <c r="K77" s="1" t="s">
        <v>132</v>
      </c>
      <c r="N77" s="44" t="s">
        <v>127</v>
      </c>
      <c r="O77" s="46">
        <v>0.21</v>
      </c>
      <c r="P77" s="46">
        <f t="array" ref="P7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0.21</v>
      </c>
      <c r="Q77" s="48" t="s">
        <v>312</v>
      </c>
      <c r="R77" s="46" t="s">
        <v>128</v>
      </c>
      <c r="S77" s="46" t="s">
        <v>38</v>
      </c>
      <c r="T77" s="48" t="s">
        <v>312</v>
      </c>
      <c r="U77" s="48" t="s">
        <v>312</v>
      </c>
      <c r="V77" s="44" t="s">
        <v>320</v>
      </c>
      <c r="W77" s="44" t="s">
        <v>40</v>
      </c>
      <c r="X77" s="44" t="s">
        <v>37</v>
      </c>
    </row>
    <row r="78" spans="1:24" hidden="1" x14ac:dyDescent="0.3">
      <c r="A78" s="44">
        <v>76</v>
      </c>
      <c r="B78" s="44" t="s">
        <v>321</v>
      </c>
      <c r="C78" s="45" t="s">
        <v>322</v>
      </c>
      <c r="D78" s="44" t="s">
        <v>119</v>
      </c>
      <c r="E78" s="44" t="s">
        <v>120</v>
      </c>
      <c r="F78" s="44" t="s">
        <v>140</v>
      </c>
      <c r="G78" s="44" t="s">
        <v>141</v>
      </c>
      <c r="H78" s="44" t="s">
        <v>123</v>
      </c>
      <c r="I78" s="44" t="s">
        <v>319</v>
      </c>
      <c r="J78" s="44" t="s">
        <v>143</v>
      </c>
      <c r="K78" s="1" t="s">
        <v>214</v>
      </c>
      <c r="N78" s="44" t="s">
        <v>127</v>
      </c>
      <c r="O78" s="46">
        <v>0.78</v>
      </c>
      <c r="P78" s="46">
        <f t="array" ref="P7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0.78</v>
      </c>
      <c r="Q78" s="48" t="s">
        <v>312</v>
      </c>
      <c r="R78" s="46" t="s">
        <v>128</v>
      </c>
      <c r="S78" s="46" t="s">
        <v>38</v>
      </c>
      <c r="T78" s="48" t="s">
        <v>312</v>
      </c>
      <c r="U78" s="48" t="s">
        <v>312</v>
      </c>
      <c r="V78" s="44" t="s">
        <v>323</v>
      </c>
      <c r="W78" s="44" t="s">
        <v>40</v>
      </c>
      <c r="X78" s="44" t="s">
        <v>37</v>
      </c>
    </row>
    <row r="79" spans="1:24" hidden="1" x14ac:dyDescent="0.3">
      <c r="A79" s="44">
        <v>77</v>
      </c>
      <c r="B79" s="44" t="s">
        <v>324</v>
      </c>
      <c r="C79" s="45" t="s">
        <v>325</v>
      </c>
      <c r="D79" s="44" t="s">
        <v>119</v>
      </c>
      <c r="E79" s="44" t="s">
        <v>120</v>
      </c>
      <c r="F79" s="44" t="s">
        <v>140</v>
      </c>
      <c r="G79" s="44" t="s">
        <v>153</v>
      </c>
      <c r="H79" s="44" t="s">
        <v>123</v>
      </c>
      <c r="I79" s="44" t="s">
        <v>326</v>
      </c>
      <c r="J79" s="44" t="s">
        <v>143</v>
      </c>
      <c r="K79" s="1" t="s">
        <v>132</v>
      </c>
      <c r="N79" s="44" t="s">
        <v>127</v>
      </c>
      <c r="O79" s="46">
        <v>0.27</v>
      </c>
      <c r="P79" s="46">
        <f t="array" ref="P7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0.27</v>
      </c>
      <c r="Q79" s="48" t="s">
        <v>312</v>
      </c>
      <c r="R79" s="46" t="s">
        <v>128</v>
      </c>
      <c r="S79" s="46" t="s">
        <v>38</v>
      </c>
      <c r="T79" s="48" t="s">
        <v>312</v>
      </c>
      <c r="U79" s="48" t="s">
        <v>312</v>
      </c>
      <c r="V79" s="44" t="s">
        <v>327</v>
      </c>
      <c r="W79" s="44" t="s">
        <v>40</v>
      </c>
      <c r="X79" s="44" t="s">
        <v>37</v>
      </c>
    </row>
    <row r="80" spans="1:24" hidden="1" x14ac:dyDescent="0.3">
      <c r="A80" s="44">
        <v>78</v>
      </c>
      <c r="B80" s="44" t="s">
        <v>328</v>
      </c>
      <c r="C80" s="45" t="s">
        <v>329</v>
      </c>
      <c r="D80" s="44" t="s">
        <v>119</v>
      </c>
      <c r="E80" s="44" t="s">
        <v>120</v>
      </c>
      <c r="F80" s="44" t="s">
        <v>140</v>
      </c>
      <c r="G80" s="44" t="s">
        <v>153</v>
      </c>
      <c r="H80" s="44" t="s">
        <v>123</v>
      </c>
      <c r="I80" s="44" t="s">
        <v>326</v>
      </c>
      <c r="J80" s="44" t="s">
        <v>143</v>
      </c>
      <c r="K80" s="1" t="s">
        <v>214</v>
      </c>
      <c r="N80" s="44" t="s">
        <v>127</v>
      </c>
      <c r="O80" s="46">
        <v>1.43</v>
      </c>
      <c r="P80" s="46">
        <f t="array" ref="P8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1.43</v>
      </c>
      <c r="Q80" s="48" t="s">
        <v>312</v>
      </c>
      <c r="R80" s="46" t="s">
        <v>128</v>
      </c>
      <c r="S80" s="46" t="s">
        <v>38</v>
      </c>
      <c r="T80" s="48" t="s">
        <v>312</v>
      </c>
      <c r="U80" s="48" t="s">
        <v>312</v>
      </c>
      <c r="V80" s="44" t="s">
        <v>330</v>
      </c>
      <c r="W80" s="44" t="s">
        <v>40</v>
      </c>
      <c r="X80" s="44" t="s">
        <v>37</v>
      </c>
    </row>
    <row r="81" spans="1:24" hidden="1" x14ac:dyDescent="0.3">
      <c r="A81" s="44">
        <v>79</v>
      </c>
      <c r="B81" s="44" t="s">
        <v>331</v>
      </c>
      <c r="C81" s="45" t="s">
        <v>332</v>
      </c>
      <c r="D81" s="44" t="s">
        <v>119</v>
      </c>
      <c r="E81" s="44" t="s">
        <v>120</v>
      </c>
      <c r="F81" s="44" t="s">
        <v>140</v>
      </c>
      <c r="G81" s="44" t="s">
        <v>164</v>
      </c>
      <c r="H81" s="44" t="s">
        <v>123</v>
      </c>
      <c r="I81" s="44" t="s">
        <v>326</v>
      </c>
      <c r="J81" s="44" t="s">
        <v>143</v>
      </c>
      <c r="K81" s="1" t="s">
        <v>132</v>
      </c>
      <c r="N81" s="44" t="s">
        <v>127</v>
      </c>
      <c r="O81" s="46">
        <v>0.2</v>
      </c>
      <c r="P81" s="46">
        <f t="array" ref="P8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0.2</v>
      </c>
      <c r="Q81" s="48" t="s">
        <v>312</v>
      </c>
      <c r="R81" s="46" t="s">
        <v>128</v>
      </c>
      <c r="S81" s="46" t="s">
        <v>38</v>
      </c>
      <c r="T81" s="48" t="s">
        <v>312</v>
      </c>
      <c r="U81" s="48" t="s">
        <v>312</v>
      </c>
      <c r="V81" s="44" t="s">
        <v>333</v>
      </c>
      <c r="W81" s="44" t="s">
        <v>40</v>
      </c>
      <c r="X81" s="44" t="s">
        <v>37</v>
      </c>
    </row>
    <row r="82" spans="1:24" hidden="1" x14ac:dyDescent="0.3">
      <c r="A82" s="44">
        <v>80</v>
      </c>
      <c r="B82" s="44" t="s">
        <v>334</v>
      </c>
      <c r="C82" s="45" t="s">
        <v>335</v>
      </c>
      <c r="D82" s="44" t="s">
        <v>119</v>
      </c>
      <c r="E82" s="44" t="s">
        <v>120</v>
      </c>
      <c r="F82" s="44" t="s">
        <v>140</v>
      </c>
      <c r="G82" s="44" t="s">
        <v>164</v>
      </c>
      <c r="H82" s="44" t="s">
        <v>123</v>
      </c>
      <c r="I82" s="44" t="s">
        <v>326</v>
      </c>
      <c r="J82" s="44" t="s">
        <v>143</v>
      </c>
      <c r="K82" s="1" t="s">
        <v>214</v>
      </c>
      <c r="N82" s="44" t="s">
        <v>127</v>
      </c>
      <c r="O82" s="46">
        <v>0.85</v>
      </c>
      <c r="P82" s="46">
        <f t="array" ref="P8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0.85</v>
      </c>
      <c r="Q82" s="48" t="s">
        <v>312</v>
      </c>
      <c r="R82" s="46" t="s">
        <v>128</v>
      </c>
      <c r="S82" s="46" t="s">
        <v>38</v>
      </c>
      <c r="T82" s="48" t="s">
        <v>312</v>
      </c>
      <c r="U82" s="48" t="s">
        <v>312</v>
      </c>
      <c r="V82" s="44" t="s">
        <v>336</v>
      </c>
      <c r="W82" s="44" t="s">
        <v>40</v>
      </c>
      <c r="X82" s="44" t="s">
        <v>37</v>
      </c>
    </row>
    <row r="83" spans="1:24" hidden="1" x14ac:dyDescent="0.3">
      <c r="A83" s="44">
        <v>81</v>
      </c>
      <c r="B83" s="44" t="s">
        <v>337</v>
      </c>
      <c r="C83" s="49" t="s">
        <v>338</v>
      </c>
      <c r="D83" s="44" t="s">
        <v>119</v>
      </c>
      <c r="E83" s="44" t="s">
        <v>120</v>
      </c>
      <c r="F83" s="44" t="s">
        <v>140</v>
      </c>
      <c r="G83" s="44" t="s">
        <v>153</v>
      </c>
      <c r="H83" s="44" t="s">
        <v>123</v>
      </c>
      <c r="I83" s="44" t="s">
        <v>339</v>
      </c>
      <c r="J83" s="44" t="s">
        <v>143</v>
      </c>
      <c r="K83" s="1" t="s">
        <v>340</v>
      </c>
      <c r="N83" s="44" t="s">
        <v>127</v>
      </c>
      <c r="O83" s="46">
        <v>1.24</v>
      </c>
      <c r="P83" s="46">
        <f t="array" ref="P8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1.24</v>
      </c>
      <c r="Q83" s="48" t="s">
        <v>312</v>
      </c>
      <c r="R83" s="46" t="s">
        <v>128</v>
      </c>
      <c r="S83" s="46" t="s">
        <v>38</v>
      </c>
      <c r="T83" s="48" t="s">
        <v>312</v>
      </c>
      <c r="U83" s="48" t="s">
        <v>312</v>
      </c>
      <c r="V83" s="44" t="s">
        <v>341</v>
      </c>
      <c r="W83" s="44" t="s">
        <v>40</v>
      </c>
      <c r="X83" s="44" t="s">
        <v>37</v>
      </c>
    </row>
    <row r="84" spans="1:24" hidden="1" x14ac:dyDescent="0.3">
      <c r="A84" s="44">
        <v>82</v>
      </c>
      <c r="B84" s="44" t="s">
        <v>342</v>
      </c>
      <c r="C84" s="49" t="s">
        <v>343</v>
      </c>
      <c r="D84" s="44" t="s">
        <v>119</v>
      </c>
      <c r="E84" s="44" t="s">
        <v>120</v>
      </c>
      <c r="F84" s="44" t="s">
        <v>140</v>
      </c>
      <c r="G84" s="44" t="s">
        <v>174</v>
      </c>
      <c r="H84" s="44" t="s">
        <v>160</v>
      </c>
      <c r="I84" s="44" t="s">
        <v>344</v>
      </c>
      <c r="J84" s="44" t="s">
        <v>143</v>
      </c>
      <c r="K84" s="1" t="s">
        <v>340</v>
      </c>
      <c r="N84" s="44" t="s">
        <v>127</v>
      </c>
      <c r="O84" s="46">
        <v>0.47</v>
      </c>
      <c r="P84" s="46">
        <f t="array" ref="P8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0.47</v>
      </c>
      <c r="Q84" s="48" t="s">
        <v>312</v>
      </c>
      <c r="R84" s="46" t="s">
        <v>128</v>
      </c>
      <c r="S84" s="46" t="s">
        <v>38</v>
      </c>
      <c r="T84" s="48" t="s">
        <v>312</v>
      </c>
      <c r="U84" s="48" t="s">
        <v>312</v>
      </c>
      <c r="V84" s="44" t="s">
        <v>345</v>
      </c>
      <c r="W84" s="44" t="s">
        <v>40</v>
      </c>
      <c r="X84" s="44" t="s">
        <v>37</v>
      </c>
    </row>
    <row r="85" spans="1:24" hidden="1" x14ac:dyDescent="0.3">
      <c r="A85" s="44">
        <v>83</v>
      </c>
      <c r="B85" s="44" t="s">
        <v>346</v>
      </c>
      <c r="C85" s="45" t="s">
        <v>347</v>
      </c>
      <c r="D85" s="44" t="s">
        <v>119</v>
      </c>
      <c r="E85" s="44" t="s">
        <v>120</v>
      </c>
      <c r="F85" s="44" t="s">
        <v>121</v>
      </c>
      <c r="G85" s="44" t="s">
        <v>122</v>
      </c>
      <c r="H85" s="44" t="s">
        <v>348</v>
      </c>
      <c r="I85" s="44" t="s">
        <v>349</v>
      </c>
      <c r="J85" s="44" t="s">
        <v>350</v>
      </c>
      <c r="K85" s="1" t="s">
        <v>126</v>
      </c>
      <c r="L85" s="1" t="s">
        <v>351</v>
      </c>
      <c r="N85" s="44" t="s">
        <v>127</v>
      </c>
      <c r="O85" s="46">
        <v>14</v>
      </c>
      <c r="P85" s="46">
        <f t="array" ref="P8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14</v>
      </c>
      <c r="Q85" s="48" t="s">
        <v>312</v>
      </c>
      <c r="R85" s="46" t="s">
        <v>352</v>
      </c>
      <c r="S85" s="46" t="s">
        <v>353</v>
      </c>
      <c r="T85" s="48" t="s">
        <v>312</v>
      </c>
      <c r="U85" s="48" t="s">
        <v>312</v>
      </c>
      <c r="V85" s="44" t="s">
        <v>354</v>
      </c>
      <c r="W85" s="44" t="s">
        <v>40</v>
      </c>
      <c r="X85" s="44" t="s">
        <v>37</v>
      </c>
    </row>
    <row r="86" spans="1:24" hidden="1" x14ac:dyDescent="0.3">
      <c r="A86" s="44">
        <v>84</v>
      </c>
      <c r="B86" s="44" t="s">
        <v>355</v>
      </c>
      <c r="C86" s="45" t="s">
        <v>356</v>
      </c>
      <c r="D86" s="44" t="s">
        <v>119</v>
      </c>
      <c r="E86" s="44" t="s">
        <v>120</v>
      </c>
      <c r="F86" s="44" t="s">
        <v>140</v>
      </c>
      <c r="G86" s="44" t="s">
        <v>141</v>
      </c>
      <c r="H86" s="44" t="s">
        <v>348</v>
      </c>
      <c r="I86" s="44" t="s">
        <v>357</v>
      </c>
      <c r="J86" s="44" t="s">
        <v>143</v>
      </c>
      <c r="K86" s="1" t="s">
        <v>126</v>
      </c>
      <c r="L86" s="1" t="s">
        <v>351</v>
      </c>
      <c r="N86" s="44" t="s">
        <v>127</v>
      </c>
      <c r="O86" s="46">
        <v>0.39</v>
      </c>
      <c r="P86" s="46">
        <f t="array" ref="P8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0.39</v>
      </c>
      <c r="Q86" s="48" t="s">
        <v>312</v>
      </c>
      <c r="R86" s="46" t="s">
        <v>352</v>
      </c>
      <c r="S86" s="46" t="s">
        <v>353</v>
      </c>
      <c r="T86" s="48" t="s">
        <v>312</v>
      </c>
      <c r="U86" s="48" t="s">
        <v>312</v>
      </c>
      <c r="V86" s="44" t="s">
        <v>358</v>
      </c>
      <c r="W86" s="44" t="s">
        <v>40</v>
      </c>
      <c r="X86" s="44" t="s">
        <v>37</v>
      </c>
    </row>
    <row r="87" spans="1:24" hidden="1" x14ac:dyDescent="0.3">
      <c r="A87" s="44">
        <v>85</v>
      </c>
      <c r="B87" s="44" t="s">
        <v>359</v>
      </c>
      <c r="C87" s="45" t="s">
        <v>360</v>
      </c>
      <c r="D87" s="44" t="s">
        <v>119</v>
      </c>
      <c r="E87" s="44" t="s">
        <v>120</v>
      </c>
      <c r="F87" s="44" t="s">
        <v>140</v>
      </c>
      <c r="G87" s="44" t="s">
        <v>153</v>
      </c>
      <c r="H87" s="44" t="s">
        <v>348</v>
      </c>
      <c r="I87" s="44" t="s">
        <v>349</v>
      </c>
      <c r="J87" s="44" t="s">
        <v>143</v>
      </c>
      <c r="K87" s="1" t="s">
        <v>126</v>
      </c>
      <c r="L87" s="1" t="s">
        <v>351</v>
      </c>
      <c r="N87" s="44" t="s">
        <v>127</v>
      </c>
      <c r="O87" s="46">
        <v>0.39</v>
      </c>
      <c r="P87" s="46">
        <f t="array" ref="P8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0.39</v>
      </c>
      <c r="Q87" s="48" t="s">
        <v>312</v>
      </c>
      <c r="R87" s="46" t="s">
        <v>352</v>
      </c>
      <c r="S87" s="46" t="s">
        <v>353</v>
      </c>
      <c r="T87" s="48" t="s">
        <v>312</v>
      </c>
      <c r="U87" s="48" t="s">
        <v>312</v>
      </c>
      <c r="V87" s="44" t="s">
        <v>361</v>
      </c>
      <c r="W87" s="44" t="s">
        <v>40</v>
      </c>
      <c r="X87" s="44" t="s">
        <v>37</v>
      </c>
    </row>
    <row r="88" spans="1:24" hidden="1" x14ac:dyDescent="0.3">
      <c r="A88" s="44">
        <v>86</v>
      </c>
      <c r="B88" s="44" t="s">
        <v>362</v>
      </c>
      <c r="C88" s="45" t="s">
        <v>363</v>
      </c>
      <c r="D88" s="44" t="s">
        <v>119</v>
      </c>
      <c r="E88" s="44" t="s">
        <v>120</v>
      </c>
      <c r="F88" s="44" t="s">
        <v>140</v>
      </c>
      <c r="G88" s="44" t="s">
        <v>164</v>
      </c>
      <c r="H88" s="44" t="s">
        <v>348</v>
      </c>
      <c r="I88" s="44" t="s">
        <v>349</v>
      </c>
      <c r="J88" s="44" t="s">
        <v>143</v>
      </c>
      <c r="K88" s="1" t="s">
        <v>126</v>
      </c>
      <c r="L88" s="1" t="s">
        <v>351</v>
      </c>
      <c r="N88" s="44" t="s">
        <v>127</v>
      </c>
      <c r="O88" s="46">
        <v>0.37</v>
      </c>
      <c r="P88" s="46">
        <f t="array" ref="P8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0.37</v>
      </c>
      <c r="Q88" s="48" t="s">
        <v>312</v>
      </c>
      <c r="R88" s="46" t="s">
        <v>352</v>
      </c>
      <c r="S88" s="46" t="s">
        <v>353</v>
      </c>
      <c r="T88" s="48" t="s">
        <v>312</v>
      </c>
      <c r="U88" s="48" t="s">
        <v>312</v>
      </c>
      <c r="V88" s="44" t="s">
        <v>364</v>
      </c>
      <c r="W88" s="44" t="s">
        <v>40</v>
      </c>
      <c r="X88" s="44" t="s">
        <v>37</v>
      </c>
    </row>
    <row r="89" spans="1:24" hidden="1" x14ac:dyDescent="0.3">
      <c r="A89" s="44">
        <v>87</v>
      </c>
      <c r="B89" s="44" t="s">
        <v>365</v>
      </c>
      <c r="C89" s="45" t="s">
        <v>366</v>
      </c>
      <c r="D89" s="44" t="s">
        <v>119</v>
      </c>
      <c r="E89" s="44" t="s">
        <v>120</v>
      </c>
      <c r="F89" s="44" t="s">
        <v>140</v>
      </c>
      <c r="G89" s="44" t="s">
        <v>187</v>
      </c>
      <c r="H89" s="44" t="s">
        <v>348</v>
      </c>
      <c r="I89" s="44" t="s">
        <v>367</v>
      </c>
      <c r="J89" s="44" t="s">
        <v>143</v>
      </c>
      <c r="K89" s="1" t="s">
        <v>189</v>
      </c>
      <c r="L89" s="1" t="s">
        <v>351</v>
      </c>
      <c r="N89" s="44" t="s">
        <v>127</v>
      </c>
      <c r="O89" s="46">
        <v>2.77</v>
      </c>
      <c r="P89" s="46">
        <f t="array" ref="P8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2.77</v>
      </c>
      <c r="Q89" s="48" t="s">
        <v>312</v>
      </c>
      <c r="R89" s="46" t="s">
        <v>352</v>
      </c>
      <c r="S89" s="46" t="s">
        <v>353</v>
      </c>
      <c r="T89" s="48" t="s">
        <v>312</v>
      </c>
      <c r="U89" s="48" t="s">
        <v>312</v>
      </c>
      <c r="V89" s="44" t="s">
        <v>368</v>
      </c>
      <c r="W89" s="44" t="s">
        <v>40</v>
      </c>
      <c r="X89" s="44" t="s">
        <v>37</v>
      </c>
    </row>
    <row r="90" spans="1:24" hidden="1" x14ac:dyDescent="0.3">
      <c r="A90" s="44">
        <v>88</v>
      </c>
      <c r="B90" s="44" t="s">
        <v>369</v>
      </c>
      <c r="C90" s="45" t="s">
        <v>370</v>
      </c>
      <c r="D90" s="44" t="s">
        <v>119</v>
      </c>
      <c r="E90" s="44" t="s">
        <v>120</v>
      </c>
      <c r="F90" s="44" t="s">
        <v>140</v>
      </c>
      <c r="G90" s="44" t="s">
        <v>187</v>
      </c>
      <c r="H90" s="44" t="s">
        <v>348</v>
      </c>
      <c r="I90" s="44" t="s">
        <v>371</v>
      </c>
      <c r="J90" s="44" t="s">
        <v>143</v>
      </c>
      <c r="K90" s="1" t="s">
        <v>189</v>
      </c>
      <c r="L90" s="1" t="s">
        <v>351</v>
      </c>
      <c r="N90" s="44" t="s">
        <v>127</v>
      </c>
      <c r="O90" s="46">
        <v>3.37</v>
      </c>
      <c r="P90" s="46">
        <f t="array" ref="P9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3.37</v>
      </c>
      <c r="Q90" s="48" t="s">
        <v>312</v>
      </c>
      <c r="R90" s="46" t="s">
        <v>352</v>
      </c>
      <c r="S90" s="46" t="s">
        <v>353</v>
      </c>
      <c r="T90" s="48" t="s">
        <v>312</v>
      </c>
      <c r="U90" s="48" t="s">
        <v>312</v>
      </c>
      <c r="V90" s="44" t="s">
        <v>372</v>
      </c>
      <c r="W90" s="44" t="s">
        <v>40</v>
      </c>
      <c r="X90" s="44" t="s">
        <v>37</v>
      </c>
    </row>
    <row r="91" spans="1:24" hidden="1" x14ac:dyDescent="0.3">
      <c r="A91" s="44">
        <v>89</v>
      </c>
      <c r="B91" s="44" t="s">
        <v>373</v>
      </c>
      <c r="C91" s="45" t="s">
        <v>374</v>
      </c>
      <c r="D91" s="44" t="s">
        <v>119</v>
      </c>
      <c r="E91" s="44" t="s">
        <v>120</v>
      </c>
      <c r="F91" s="44" t="s">
        <v>140</v>
      </c>
      <c r="G91" s="44" t="s">
        <v>141</v>
      </c>
      <c r="H91" s="44" t="s">
        <v>348</v>
      </c>
      <c r="I91" s="44" t="s">
        <v>375</v>
      </c>
      <c r="J91" s="44" t="s">
        <v>143</v>
      </c>
      <c r="K91" s="1" t="s">
        <v>189</v>
      </c>
      <c r="L91" s="1" t="s">
        <v>351</v>
      </c>
      <c r="N91" s="44" t="s">
        <v>127</v>
      </c>
      <c r="O91" s="46">
        <v>2.99</v>
      </c>
      <c r="P91" s="46">
        <f t="array" ref="P9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2.99</v>
      </c>
      <c r="Q91" s="48" t="s">
        <v>312</v>
      </c>
      <c r="R91" s="46" t="s">
        <v>352</v>
      </c>
      <c r="S91" s="46" t="s">
        <v>353</v>
      </c>
      <c r="T91" s="48" t="s">
        <v>312</v>
      </c>
      <c r="U91" s="48" t="s">
        <v>312</v>
      </c>
      <c r="V91" s="44" t="s">
        <v>376</v>
      </c>
      <c r="W91" s="44" t="s">
        <v>40</v>
      </c>
      <c r="X91" s="44" t="s">
        <v>37</v>
      </c>
    </row>
    <row r="92" spans="1:24" hidden="1" x14ac:dyDescent="0.3">
      <c r="A92" s="44">
        <v>90</v>
      </c>
      <c r="B92" s="44" t="s">
        <v>377</v>
      </c>
      <c r="C92" s="45" t="s">
        <v>378</v>
      </c>
      <c r="D92" s="44" t="s">
        <v>119</v>
      </c>
      <c r="E92" s="44" t="s">
        <v>120</v>
      </c>
      <c r="F92" s="44" t="s">
        <v>140</v>
      </c>
      <c r="G92" s="44" t="s">
        <v>153</v>
      </c>
      <c r="H92" s="44" t="s">
        <v>348</v>
      </c>
      <c r="I92" s="44" t="s">
        <v>379</v>
      </c>
      <c r="J92" s="44" t="s">
        <v>143</v>
      </c>
      <c r="K92" s="1" t="s">
        <v>189</v>
      </c>
      <c r="L92" s="1" t="s">
        <v>351</v>
      </c>
      <c r="N92" s="44" t="s">
        <v>127</v>
      </c>
      <c r="O92" s="46">
        <v>3.67</v>
      </c>
      <c r="P92" s="46">
        <f t="array" ref="P9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3.67</v>
      </c>
      <c r="Q92" s="48" t="s">
        <v>312</v>
      </c>
      <c r="R92" s="46" t="s">
        <v>352</v>
      </c>
      <c r="S92" s="46" t="s">
        <v>353</v>
      </c>
      <c r="T92" s="48" t="s">
        <v>312</v>
      </c>
      <c r="U92" s="48" t="s">
        <v>312</v>
      </c>
      <c r="V92" s="44" t="s">
        <v>380</v>
      </c>
      <c r="W92" s="44" t="s">
        <v>40</v>
      </c>
      <c r="X92" s="44" t="s">
        <v>37</v>
      </c>
    </row>
    <row r="93" spans="1:24" hidden="1" x14ac:dyDescent="0.3">
      <c r="A93" s="44">
        <v>91</v>
      </c>
      <c r="B93" s="44" t="s">
        <v>381</v>
      </c>
      <c r="C93" s="45" t="s">
        <v>382</v>
      </c>
      <c r="D93" s="44" t="s">
        <v>119</v>
      </c>
      <c r="E93" s="44" t="s">
        <v>120</v>
      </c>
      <c r="F93" s="44" t="s">
        <v>121</v>
      </c>
      <c r="G93" s="44" t="s">
        <v>383</v>
      </c>
      <c r="H93" s="44" t="s">
        <v>348</v>
      </c>
      <c r="I93" s="44" t="s">
        <v>384</v>
      </c>
      <c r="J93" s="44" t="s">
        <v>143</v>
      </c>
      <c r="K93" s="1" t="s">
        <v>126</v>
      </c>
      <c r="L93" s="1" t="s">
        <v>351</v>
      </c>
      <c r="N93" s="44" t="s">
        <v>127</v>
      </c>
      <c r="O93" s="46">
        <v>11.07</v>
      </c>
      <c r="P93" s="46">
        <f t="array" ref="P9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11.07</v>
      </c>
      <c r="Q93" s="48" t="s">
        <v>312</v>
      </c>
      <c r="R93" s="46" t="s">
        <v>352</v>
      </c>
      <c r="S93" s="46" t="s">
        <v>353</v>
      </c>
      <c r="T93" s="48" t="s">
        <v>312</v>
      </c>
      <c r="U93" s="48" t="s">
        <v>312</v>
      </c>
      <c r="V93" s="44" t="s">
        <v>385</v>
      </c>
      <c r="W93" s="44" t="s">
        <v>40</v>
      </c>
      <c r="X93" s="44" t="s">
        <v>37</v>
      </c>
    </row>
    <row r="94" spans="1:24" hidden="1" x14ac:dyDescent="0.3">
      <c r="A94" s="44">
        <v>92</v>
      </c>
      <c r="B94" s="44" t="s">
        <v>386</v>
      </c>
      <c r="C94" s="45" t="s">
        <v>387</v>
      </c>
      <c r="D94" s="44" t="s">
        <v>119</v>
      </c>
      <c r="E94" s="44" t="s">
        <v>120</v>
      </c>
      <c r="F94" s="44" t="s">
        <v>140</v>
      </c>
      <c r="G94" s="44" t="s">
        <v>388</v>
      </c>
      <c r="H94" s="44" t="s">
        <v>348</v>
      </c>
      <c r="I94" s="44" t="s">
        <v>349</v>
      </c>
      <c r="J94" s="44" t="s">
        <v>143</v>
      </c>
      <c r="K94" s="1" t="s">
        <v>126</v>
      </c>
      <c r="L94" s="1" t="s">
        <v>351</v>
      </c>
      <c r="N94" s="44" t="s">
        <v>127</v>
      </c>
      <c r="O94" s="46">
        <v>0.3</v>
      </c>
      <c r="P94" s="46">
        <f t="array" ref="P9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0.3</v>
      </c>
      <c r="Q94" s="48" t="s">
        <v>312</v>
      </c>
      <c r="R94" s="46" t="s">
        <v>352</v>
      </c>
      <c r="S94" s="46" t="s">
        <v>353</v>
      </c>
      <c r="T94" s="48" t="s">
        <v>312</v>
      </c>
      <c r="U94" s="48" t="s">
        <v>312</v>
      </c>
      <c r="V94" s="44" t="s">
        <v>389</v>
      </c>
      <c r="W94" s="44" t="s">
        <v>40</v>
      </c>
      <c r="X94" s="44" t="s">
        <v>37</v>
      </c>
    </row>
    <row r="95" spans="1:24" hidden="1" x14ac:dyDescent="0.3">
      <c r="A95" s="44">
        <v>93</v>
      </c>
      <c r="B95" s="44" t="s">
        <v>390</v>
      </c>
      <c r="C95" s="45" t="s">
        <v>391</v>
      </c>
      <c r="D95" s="44" t="s">
        <v>119</v>
      </c>
      <c r="E95" s="44" t="s">
        <v>120</v>
      </c>
      <c r="F95" s="44" t="s">
        <v>392</v>
      </c>
      <c r="G95" s="44" t="s">
        <v>393</v>
      </c>
      <c r="H95" s="44" t="s">
        <v>123</v>
      </c>
      <c r="I95" s="44" t="s">
        <v>394</v>
      </c>
      <c r="J95" s="44" t="s">
        <v>395</v>
      </c>
      <c r="K95" s="1" t="s">
        <v>396</v>
      </c>
      <c r="N95" s="44" t="s">
        <v>127</v>
      </c>
      <c r="O95" s="46">
        <v>0.36</v>
      </c>
      <c r="P95" s="46">
        <f t="array" ref="P9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0.31304347826086959</v>
      </c>
      <c r="Q95" s="48" t="s">
        <v>312</v>
      </c>
      <c r="R95" s="46" t="s">
        <v>397</v>
      </c>
      <c r="S95" s="46" t="s">
        <v>398</v>
      </c>
      <c r="T95" s="48" t="s">
        <v>312</v>
      </c>
      <c r="U95" s="48" t="s">
        <v>312</v>
      </c>
      <c r="V95" s="44" t="s">
        <v>399</v>
      </c>
      <c r="W95" s="44" t="s">
        <v>40</v>
      </c>
      <c r="X95" s="44" t="s">
        <v>37</v>
      </c>
    </row>
    <row r="96" spans="1:24" hidden="1" x14ac:dyDescent="0.3">
      <c r="A96" s="44">
        <v>94</v>
      </c>
      <c r="B96" s="44" t="s">
        <v>400</v>
      </c>
      <c r="C96" s="45" t="s">
        <v>401</v>
      </c>
      <c r="D96" s="44" t="s">
        <v>119</v>
      </c>
      <c r="E96" s="44" t="s">
        <v>120</v>
      </c>
      <c r="F96" s="44" t="s">
        <v>392</v>
      </c>
      <c r="G96" s="44" t="s">
        <v>393</v>
      </c>
      <c r="H96" s="44" t="s">
        <v>402</v>
      </c>
      <c r="I96" s="44" t="s">
        <v>403</v>
      </c>
      <c r="J96" s="44" t="s">
        <v>395</v>
      </c>
      <c r="K96" s="1" t="s">
        <v>396</v>
      </c>
      <c r="N96" s="44" t="s">
        <v>127</v>
      </c>
      <c r="O96" s="46">
        <v>0.28000000000000003</v>
      </c>
      <c r="P96" s="46">
        <f t="array" ref="P9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0.24347826086956526</v>
      </c>
      <c r="Q96" s="48" t="s">
        <v>312</v>
      </c>
      <c r="R96" s="46" t="s">
        <v>397</v>
      </c>
      <c r="S96" s="46" t="s">
        <v>398</v>
      </c>
      <c r="T96" s="48" t="s">
        <v>312</v>
      </c>
      <c r="U96" s="48" t="s">
        <v>312</v>
      </c>
      <c r="V96" s="44" t="s">
        <v>404</v>
      </c>
      <c r="W96" s="44" t="s">
        <v>40</v>
      </c>
      <c r="X96" s="44" t="s">
        <v>37</v>
      </c>
    </row>
    <row r="97" spans="1:24" hidden="1" x14ac:dyDescent="0.3">
      <c r="A97" s="44">
        <v>95</v>
      </c>
      <c r="B97" s="44" t="s">
        <v>405</v>
      </c>
      <c r="C97" s="45" t="s">
        <v>406</v>
      </c>
      <c r="D97" s="44" t="s">
        <v>119</v>
      </c>
      <c r="E97" s="44" t="s">
        <v>120</v>
      </c>
      <c r="F97" s="44" t="s">
        <v>392</v>
      </c>
      <c r="G97" s="44" t="s">
        <v>407</v>
      </c>
      <c r="H97" s="44" t="s">
        <v>123</v>
      </c>
      <c r="I97" s="44" t="s">
        <v>408</v>
      </c>
      <c r="J97" s="44" t="s">
        <v>143</v>
      </c>
      <c r="K97" s="1" t="s">
        <v>409</v>
      </c>
      <c r="N97" s="44" t="s">
        <v>127</v>
      </c>
      <c r="O97" s="46">
        <v>3.05</v>
      </c>
      <c r="P97" s="46">
        <f t="array" ref="P9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2.6521739130434785</v>
      </c>
      <c r="Q97" s="48" t="s">
        <v>312</v>
      </c>
      <c r="R97" s="46" t="s">
        <v>397</v>
      </c>
      <c r="S97" s="46" t="s">
        <v>398</v>
      </c>
      <c r="T97" s="48" t="s">
        <v>312</v>
      </c>
      <c r="U97" s="48" t="s">
        <v>312</v>
      </c>
      <c r="V97" s="44" t="s">
        <v>410</v>
      </c>
      <c r="W97" s="44" t="s">
        <v>40</v>
      </c>
      <c r="X97" s="44" t="s">
        <v>37</v>
      </c>
    </row>
    <row r="98" spans="1:24" hidden="1" x14ac:dyDescent="0.3">
      <c r="A98" s="44">
        <v>96</v>
      </c>
      <c r="B98" s="44" t="s">
        <v>411</v>
      </c>
      <c r="C98" s="45" t="s">
        <v>412</v>
      </c>
      <c r="D98" s="44" t="s">
        <v>119</v>
      </c>
      <c r="E98" s="44" t="s">
        <v>120</v>
      </c>
      <c r="F98" s="44" t="s">
        <v>392</v>
      </c>
      <c r="G98" s="44" t="s">
        <v>407</v>
      </c>
      <c r="H98" s="44" t="s">
        <v>123</v>
      </c>
      <c r="I98" s="44" t="s">
        <v>408</v>
      </c>
      <c r="J98" s="44" t="s">
        <v>143</v>
      </c>
      <c r="K98" s="1" t="s">
        <v>413</v>
      </c>
      <c r="N98" s="44" t="s">
        <v>127</v>
      </c>
      <c r="O98" s="46">
        <v>5.15</v>
      </c>
      <c r="P98" s="46">
        <f t="array" ref="P9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4.4782608695652177</v>
      </c>
      <c r="Q98" s="48" t="s">
        <v>312</v>
      </c>
      <c r="R98" s="46" t="s">
        <v>397</v>
      </c>
      <c r="S98" s="46" t="s">
        <v>398</v>
      </c>
      <c r="T98" s="48" t="s">
        <v>312</v>
      </c>
      <c r="U98" s="48" t="s">
        <v>312</v>
      </c>
      <c r="V98" s="44" t="s">
        <v>414</v>
      </c>
      <c r="W98" s="44" t="s">
        <v>40</v>
      </c>
      <c r="X98" s="44" t="s">
        <v>37</v>
      </c>
    </row>
    <row r="99" spans="1:24" hidden="1" x14ac:dyDescent="0.3">
      <c r="A99" s="44">
        <v>97</v>
      </c>
      <c r="B99" s="44" t="s">
        <v>415</v>
      </c>
      <c r="C99" s="45" t="s">
        <v>416</v>
      </c>
      <c r="D99" s="44" t="s">
        <v>119</v>
      </c>
      <c r="E99" s="44" t="s">
        <v>120</v>
      </c>
      <c r="F99" s="44" t="s">
        <v>392</v>
      </c>
      <c r="G99" s="44" t="s">
        <v>407</v>
      </c>
      <c r="H99" s="44" t="s">
        <v>123</v>
      </c>
      <c r="I99" s="44" t="s">
        <v>408</v>
      </c>
      <c r="J99" s="44" t="s">
        <v>143</v>
      </c>
      <c r="K99" s="1" t="s">
        <v>417</v>
      </c>
      <c r="N99" s="44" t="s">
        <v>127</v>
      </c>
      <c r="O99" s="46">
        <v>17.329999999999998</v>
      </c>
      <c r="P99" s="46">
        <f t="array" ref="P9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15.069565217391304</v>
      </c>
      <c r="Q99" s="48" t="s">
        <v>312</v>
      </c>
      <c r="R99" s="46" t="s">
        <v>397</v>
      </c>
      <c r="S99" s="46" t="s">
        <v>398</v>
      </c>
      <c r="T99" s="48" t="s">
        <v>312</v>
      </c>
      <c r="U99" s="48" t="s">
        <v>312</v>
      </c>
      <c r="V99" s="44" t="s">
        <v>418</v>
      </c>
      <c r="W99" s="44" t="s">
        <v>40</v>
      </c>
      <c r="X99" s="44" t="s">
        <v>37</v>
      </c>
    </row>
    <row r="100" spans="1:24" hidden="1" x14ac:dyDescent="0.3">
      <c r="A100" s="44">
        <v>98</v>
      </c>
      <c r="B100" s="44" t="s">
        <v>419</v>
      </c>
      <c r="C100" s="45" t="s">
        <v>420</v>
      </c>
      <c r="D100" s="44" t="s">
        <v>119</v>
      </c>
      <c r="E100" s="44" t="s">
        <v>120</v>
      </c>
      <c r="F100" s="44" t="s">
        <v>392</v>
      </c>
      <c r="G100" s="44" t="s">
        <v>421</v>
      </c>
      <c r="H100" s="44" t="s">
        <v>123</v>
      </c>
      <c r="I100" s="44" t="s">
        <v>422</v>
      </c>
      <c r="J100" s="44" t="s">
        <v>143</v>
      </c>
      <c r="K100" s="1" t="s">
        <v>423</v>
      </c>
      <c r="N100" s="44" t="s">
        <v>127</v>
      </c>
      <c r="O100" s="46">
        <v>10.75</v>
      </c>
      <c r="P100" s="46">
        <f t="array" ref="P10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9.3478260869565233</v>
      </c>
      <c r="Q100" s="48" t="s">
        <v>312</v>
      </c>
      <c r="R100" s="46" t="s">
        <v>397</v>
      </c>
      <c r="S100" s="46" t="s">
        <v>398</v>
      </c>
      <c r="T100" s="48" t="s">
        <v>312</v>
      </c>
      <c r="U100" s="48" t="s">
        <v>312</v>
      </c>
      <c r="V100" s="44" t="s">
        <v>424</v>
      </c>
      <c r="W100" s="44" t="s">
        <v>40</v>
      </c>
      <c r="X100" s="44" t="s">
        <v>37</v>
      </c>
    </row>
    <row r="101" spans="1:24" hidden="1" x14ac:dyDescent="0.3">
      <c r="A101" s="44">
        <v>99</v>
      </c>
      <c r="B101" s="44" t="s">
        <v>425</v>
      </c>
      <c r="C101" s="49" t="s">
        <v>426</v>
      </c>
      <c r="D101" s="44" t="s">
        <v>119</v>
      </c>
      <c r="E101" s="44" t="s">
        <v>120</v>
      </c>
      <c r="F101" s="44" t="s">
        <v>121</v>
      </c>
      <c r="G101" s="44" t="s">
        <v>383</v>
      </c>
      <c r="H101" s="44" t="s">
        <v>123</v>
      </c>
      <c r="I101" s="44" t="s">
        <v>427</v>
      </c>
      <c r="J101" s="44" t="s">
        <v>143</v>
      </c>
      <c r="K101" s="1" t="s">
        <v>126</v>
      </c>
      <c r="N101" s="44" t="s">
        <v>127</v>
      </c>
      <c r="O101" s="46">
        <v>5.49</v>
      </c>
      <c r="P101" s="46">
        <f t="array" ref="P10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5.49</v>
      </c>
      <c r="Q101" s="48">
        <v>46141</v>
      </c>
      <c r="R101" s="46" t="s">
        <v>128</v>
      </c>
      <c r="S101" s="46" t="s">
        <v>38</v>
      </c>
      <c r="T101" s="48">
        <v>46141</v>
      </c>
      <c r="U101" s="48">
        <v>46141</v>
      </c>
      <c r="V101" s="44" t="s">
        <v>428</v>
      </c>
      <c r="W101" s="44" t="s">
        <v>40</v>
      </c>
      <c r="X101" s="44" t="s">
        <v>37</v>
      </c>
    </row>
    <row r="102" spans="1:24" hidden="1" x14ac:dyDescent="0.3">
      <c r="A102" s="44">
        <v>100</v>
      </c>
      <c r="B102" s="44" t="s">
        <v>429</v>
      </c>
      <c r="C102" s="49" t="s">
        <v>430</v>
      </c>
      <c r="D102" s="44" t="s">
        <v>119</v>
      </c>
      <c r="E102" s="44" t="s">
        <v>120</v>
      </c>
      <c r="F102" s="44" t="s">
        <v>121</v>
      </c>
      <c r="G102" s="44" t="s">
        <v>383</v>
      </c>
      <c r="H102" s="44" t="s">
        <v>160</v>
      </c>
      <c r="I102" s="44" t="s">
        <v>427</v>
      </c>
      <c r="J102" s="44" t="s">
        <v>143</v>
      </c>
      <c r="K102" s="1" t="s">
        <v>126</v>
      </c>
      <c r="N102" s="44" t="s">
        <v>127</v>
      </c>
      <c r="O102" s="46">
        <v>5.77</v>
      </c>
      <c r="P102" s="46">
        <f t="array" ref="P10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5.77</v>
      </c>
      <c r="Q102" s="48">
        <v>46141</v>
      </c>
      <c r="R102" s="46" t="s">
        <v>128</v>
      </c>
      <c r="S102" s="46" t="s">
        <v>38</v>
      </c>
      <c r="T102" s="48">
        <v>46141</v>
      </c>
      <c r="U102" s="48">
        <v>46141</v>
      </c>
      <c r="V102" s="44" t="s">
        <v>431</v>
      </c>
      <c r="W102" s="44" t="s">
        <v>40</v>
      </c>
      <c r="X102" s="44" t="s">
        <v>37</v>
      </c>
    </row>
    <row r="103" spans="1:24" hidden="1" x14ac:dyDescent="0.3">
      <c r="A103" s="44">
        <v>101</v>
      </c>
      <c r="B103" s="44" t="s">
        <v>432</v>
      </c>
      <c r="C103" s="49" t="s">
        <v>433</v>
      </c>
      <c r="D103" s="44" t="s">
        <v>119</v>
      </c>
      <c r="E103" s="44" t="s">
        <v>120</v>
      </c>
      <c r="F103" s="44" t="s">
        <v>121</v>
      </c>
      <c r="G103" s="44" t="s">
        <v>383</v>
      </c>
      <c r="H103" s="44" t="s">
        <v>434</v>
      </c>
      <c r="I103" s="44" t="s">
        <v>435</v>
      </c>
      <c r="J103" s="44" t="s">
        <v>143</v>
      </c>
      <c r="K103" s="1" t="s">
        <v>396</v>
      </c>
      <c r="N103" s="44" t="s">
        <v>127</v>
      </c>
      <c r="O103" s="46">
        <v>3.91</v>
      </c>
      <c r="P103" s="46">
        <f t="array" ref="P10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3.91</v>
      </c>
      <c r="Q103" s="48" t="s">
        <v>312</v>
      </c>
      <c r="R103" s="46" t="s">
        <v>128</v>
      </c>
      <c r="S103" s="46" t="s">
        <v>38</v>
      </c>
      <c r="T103" s="48" t="s">
        <v>312</v>
      </c>
      <c r="U103" s="48" t="s">
        <v>312</v>
      </c>
      <c r="V103" s="44" t="s">
        <v>436</v>
      </c>
      <c r="W103" s="44" t="s">
        <v>40</v>
      </c>
      <c r="X103" s="44" t="s">
        <v>37</v>
      </c>
    </row>
    <row r="104" spans="1:24" hidden="1" x14ac:dyDescent="0.3">
      <c r="A104" s="44">
        <v>102</v>
      </c>
      <c r="B104" s="44" t="s">
        <v>437</v>
      </c>
      <c r="C104" s="49" t="s">
        <v>438</v>
      </c>
      <c r="D104" s="44" t="s">
        <v>119</v>
      </c>
      <c r="E104" s="44" t="s">
        <v>120</v>
      </c>
      <c r="F104" s="44" t="s">
        <v>140</v>
      </c>
      <c r="G104" s="44" t="s">
        <v>439</v>
      </c>
      <c r="H104" s="44" t="s">
        <v>440</v>
      </c>
      <c r="I104" s="44" t="s">
        <v>441</v>
      </c>
      <c r="J104" s="44" t="s">
        <v>143</v>
      </c>
      <c r="K104" s="1" t="s">
        <v>396</v>
      </c>
      <c r="N104" s="44" t="s">
        <v>127</v>
      </c>
      <c r="O104" s="46">
        <v>0.23</v>
      </c>
      <c r="P104" s="46">
        <f t="array" ref="P10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0.23</v>
      </c>
      <c r="Q104" s="48" t="s">
        <v>312</v>
      </c>
      <c r="R104" s="46" t="s">
        <v>128</v>
      </c>
      <c r="S104" s="46" t="s">
        <v>38</v>
      </c>
      <c r="T104" s="48" t="s">
        <v>312</v>
      </c>
      <c r="U104" s="48" t="s">
        <v>312</v>
      </c>
      <c r="V104" s="44" t="s">
        <v>442</v>
      </c>
      <c r="W104" s="44" t="s">
        <v>40</v>
      </c>
      <c r="X104" s="44" t="s">
        <v>37</v>
      </c>
    </row>
    <row r="105" spans="1:24" hidden="1" x14ac:dyDescent="0.3">
      <c r="A105" s="44">
        <v>103</v>
      </c>
      <c r="B105" s="44" t="s">
        <v>443</v>
      </c>
      <c r="C105" s="49" t="s">
        <v>444</v>
      </c>
      <c r="D105" s="44" t="s">
        <v>119</v>
      </c>
      <c r="E105" s="44" t="s">
        <v>120</v>
      </c>
      <c r="F105" s="44" t="s">
        <v>140</v>
      </c>
      <c r="G105" s="44" t="s">
        <v>174</v>
      </c>
      <c r="H105" s="44" t="s">
        <v>445</v>
      </c>
      <c r="I105" s="44" t="s">
        <v>446</v>
      </c>
      <c r="J105" s="44" t="s">
        <v>143</v>
      </c>
      <c r="K105" s="1" t="s">
        <v>447</v>
      </c>
      <c r="N105" s="44" t="s">
        <v>127</v>
      </c>
      <c r="O105" s="46">
        <v>1.3</v>
      </c>
      <c r="P105" s="46">
        <f t="array" ref="P10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1.1304347826086958</v>
      </c>
      <c r="Q105" s="48" t="s">
        <v>312</v>
      </c>
      <c r="R105" s="46" t="s">
        <v>397</v>
      </c>
      <c r="S105" s="46" t="s">
        <v>398</v>
      </c>
      <c r="T105" s="48" t="s">
        <v>312</v>
      </c>
      <c r="U105" s="48" t="s">
        <v>312</v>
      </c>
      <c r="V105" s="44" t="s">
        <v>448</v>
      </c>
      <c r="W105" s="44" t="s">
        <v>40</v>
      </c>
      <c r="X105" s="44" t="s">
        <v>37</v>
      </c>
    </row>
    <row r="106" spans="1:24" hidden="1" x14ac:dyDescent="0.3">
      <c r="A106" s="44">
        <v>104</v>
      </c>
      <c r="B106" s="44" t="s">
        <v>449</v>
      </c>
      <c r="C106" s="49" t="s">
        <v>450</v>
      </c>
      <c r="D106" s="44" t="s">
        <v>119</v>
      </c>
      <c r="E106" s="44" t="s">
        <v>120</v>
      </c>
      <c r="F106" s="44" t="s">
        <v>140</v>
      </c>
      <c r="G106" s="44" t="s">
        <v>164</v>
      </c>
      <c r="H106" s="44" t="s">
        <v>440</v>
      </c>
      <c r="I106" s="44" t="s">
        <v>451</v>
      </c>
      <c r="J106" s="44" t="s">
        <v>143</v>
      </c>
      <c r="K106" s="1" t="s">
        <v>396</v>
      </c>
      <c r="N106" s="44" t="s">
        <v>127</v>
      </c>
      <c r="O106" s="46">
        <v>1.79</v>
      </c>
      <c r="P106" s="46">
        <f t="array" ref="P10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1.79</v>
      </c>
      <c r="Q106" s="48" t="s">
        <v>312</v>
      </c>
      <c r="R106" s="46" t="s">
        <v>128</v>
      </c>
      <c r="S106" s="46" t="s">
        <v>38</v>
      </c>
      <c r="T106" s="48" t="s">
        <v>312</v>
      </c>
      <c r="U106" s="48" t="s">
        <v>312</v>
      </c>
      <c r="V106" s="44" t="s">
        <v>452</v>
      </c>
      <c r="W106" s="44" t="s">
        <v>40</v>
      </c>
      <c r="X106" s="44" t="s">
        <v>37</v>
      </c>
    </row>
    <row r="107" spans="1:24" hidden="1" x14ac:dyDescent="0.3">
      <c r="A107" s="44">
        <v>105</v>
      </c>
      <c r="B107" s="44" t="s">
        <v>453</v>
      </c>
      <c r="C107" s="49" t="s">
        <v>454</v>
      </c>
      <c r="D107" s="44" t="s">
        <v>119</v>
      </c>
      <c r="E107" s="44" t="s">
        <v>120</v>
      </c>
      <c r="F107" s="44" t="s">
        <v>140</v>
      </c>
      <c r="G107" s="44" t="s">
        <v>455</v>
      </c>
      <c r="H107" s="44" t="s">
        <v>456</v>
      </c>
      <c r="I107" s="44" t="s">
        <v>457</v>
      </c>
      <c r="J107" s="44" t="s">
        <v>143</v>
      </c>
      <c r="K107" s="1" t="s">
        <v>458</v>
      </c>
      <c r="N107" s="44" t="s">
        <v>127</v>
      </c>
      <c r="O107" s="46">
        <v>2.25</v>
      </c>
      <c r="P107" s="46">
        <f t="array" ref="P10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1.956521739130435</v>
      </c>
      <c r="Q107" s="48" t="s">
        <v>312</v>
      </c>
      <c r="R107" s="46" t="s">
        <v>397</v>
      </c>
      <c r="S107" s="46" t="s">
        <v>398</v>
      </c>
      <c r="T107" s="48" t="s">
        <v>312</v>
      </c>
      <c r="U107" s="48" t="s">
        <v>312</v>
      </c>
      <c r="V107" s="44" t="s">
        <v>459</v>
      </c>
      <c r="W107" s="44" t="s">
        <v>40</v>
      </c>
      <c r="X107" s="44" t="s">
        <v>37</v>
      </c>
    </row>
    <row r="108" spans="1:24" hidden="1" x14ac:dyDescent="0.3">
      <c r="A108" s="44">
        <v>106</v>
      </c>
      <c r="B108" s="44" t="s">
        <v>460</v>
      </c>
      <c r="C108" s="49" t="s">
        <v>461</v>
      </c>
      <c r="D108" s="44" t="s">
        <v>119</v>
      </c>
      <c r="E108" s="44" t="s">
        <v>120</v>
      </c>
      <c r="F108" s="44" t="s">
        <v>121</v>
      </c>
      <c r="G108" s="44" t="s">
        <v>462</v>
      </c>
      <c r="H108" s="44" t="s">
        <v>463</v>
      </c>
      <c r="I108" s="44" t="s">
        <v>464</v>
      </c>
      <c r="J108" s="44" t="s">
        <v>143</v>
      </c>
      <c r="K108" s="1" t="s">
        <v>465</v>
      </c>
      <c r="M108" s="2" t="s">
        <v>466</v>
      </c>
      <c r="N108" s="44" t="s">
        <v>127</v>
      </c>
      <c r="O108" s="46">
        <v>27.36</v>
      </c>
      <c r="P108" s="46">
        <f t="array" ref="P10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27.36</v>
      </c>
      <c r="Q108" s="48">
        <v>46141</v>
      </c>
      <c r="R108" s="46" t="s">
        <v>128</v>
      </c>
      <c r="S108" s="46" t="s">
        <v>38</v>
      </c>
      <c r="T108" s="48">
        <v>46141</v>
      </c>
      <c r="U108" s="48">
        <v>46141</v>
      </c>
      <c r="V108" s="44" t="s">
        <v>467</v>
      </c>
      <c r="W108" s="44" t="s">
        <v>40</v>
      </c>
      <c r="X108" s="44" t="s">
        <v>37</v>
      </c>
    </row>
    <row r="109" spans="1:24" hidden="1" x14ac:dyDescent="0.3">
      <c r="A109" s="44">
        <v>107</v>
      </c>
      <c r="B109" s="44" t="s">
        <v>468</v>
      </c>
      <c r="C109" s="49" t="s">
        <v>469</v>
      </c>
      <c r="D109" s="44" t="s">
        <v>119</v>
      </c>
      <c r="E109" s="44" t="s">
        <v>470</v>
      </c>
      <c r="F109" s="44" t="s">
        <v>121</v>
      </c>
      <c r="G109" s="44" t="s">
        <v>122</v>
      </c>
      <c r="H109" s="44" t="s">
        <v>123</v>
      </c>
      <c r="I109" s="44" t="s">
        <v>471</v>
      </c>
      <c r="J109" s="44" t="s">
        <v>213</v>
      </c>
      <c r="K109" s="1" t="s">
        <v>396</v>
      </c>
      <c r="M109" s="44"/>
      <c r="N109" s="44" t="s">
        <v>127</v>
      </c>
      <c r="O109" s="46">
        <v>0.83</v>
      </c>
      <c r="P109" s="46">
        <f t="array" ref="P10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0.83</v>
      </c>
      <c r="Q109" s="48" t="s">
        <v>312</v>
      </c>
      <c r="R109" s="46" t="s">
        <v>128</v>
      </c>
      <c r="S109" s="46" t="s">
        <v>38</v>
      </c>
      <c r="T109" s="48" t="s">
        <v>312</v>
      </c>
      <c r="U109" s="48" t="s">
        <v>312</v>
      </c>
      <c r="V109" s="44" t="s">
        <v>472</v>
      </c>
      <c r="W109" s="44" t="s">
        <v>40</v>
      </c>
      <c r="X109" s="44" t="s">
        <v>37</v>
      </c>
    </row>
    <row r="110" spans="1:24" hidden="1" x14ac:dyDescent="0.3">
      <c r="A110" s="44">
        <v>108</v>
      </c>
      <c r="B110" s="44" t="s">
        <v>473</v>
      </c>
      <c r="C110" s="49" t="s">
        <v>474</v>
      </c>
      <c r="D110" s="44" t="s">
        <v>119</v>
      </c>
      <c r="E110" s="44" t="s">
        <v>470</v>
      </c>
      <c r="F110" s="44" t="s">
        <v>121</v>
      </c>
      <c r="G110" s="44" t="s">
        <v>122</v>
      </c>
      <c r="H110" s="44" t="s">
        <v>123</v>
      </c>
      <c r="I110" s="44" t="s">
        <v>471</v>
      </c>
      <c r="J110" s="44" t="s">
        <v>213</v>
      </c>
      <c r="K110" s="1" t="s">
        <v>475</v>
      </c>
      <c r="M110" s="44"/>
      <c r="N110" s="44" t="s">
        <v>127</v>
      </c>
      <c r="O110" s="46">
        <v>1.1200000000000001</v>
      </c>
      <c r="P110" s="46">
        <f t="array" ref="P11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1.1200000000000001</v>
      </c>
      <c r="Q110" s="48" t="s">
        <v>312</v>
      </c>
      <c r="R110" s="46" t="s">
        <v>128</v>
      </c>
      <c r="S110" s="46" t="s">
        <v>38</v>
      </c>
      <c r="T110" s="48" t="s">
        <v>312</v>
      </c>
      <c r="U110" s="48" t="s">
        <v>312</v>
      </c>
      <c r="V110" s="44" t="s">
        <v>476</v>
      </c>
      <c r="W110" s="44" t="s">
        <v>40</v>
      </c>
      <c r="X110" s="44" t="s">
        <v>37</v>
      </c>
    </row>
    <row r="111" spans="1:24" hidden="1" x14ac:dyDescent="0.3">
      <c r="A111" s="44">
        <v>109</v>
      </c>
      <c r="B111" s="44" t="s">
        <v>477</v>
      </c>
      <c r="C111" s="49" t="s">
        <v>478</v>
      </c>
      <c r="D111" s="44" t="s">
        <v>119</v>
      </c>
      <c r="E111" s="44" t="s">
        <v>470</v>
      </c>
      <c r="F111" s="44" t="s">
        <v>121</v>
      </c>
      <c r="G111" s="44" t="s">
        <v>122</v>
      </c>
      <c r="H111" s="44" t="s">
        <v>123</v>
      </c>
      <c r="I111" s="44" t="s">
        <v>471</v>
      </c>
      <c r="J111" s="44" t="s">
        <v>213</v>
      </c>
      <c r="K111" s="1" t="s">
        <v>479</v>
      </c>
      <c r="M111" s="44"/>
      <c r="N111" s="44" t="s">
        <v>127</v>
      </c>
      <c r="O111" s="46">
        <v>1.83</v>
      </c>
      <c r="P111" s="46">
        <f t="array" ref="P11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1.83</v>
      </c>
      <c r="Q111" s="48" t="s">
        <v>312</v>
      </c>
      <c r="R111" s="46" t="s">
        <v>128</v>
      </c>
      <c r="S111" s="46" t="s">
        <v>38</v>
      </c>
      <c r="T111" s="48" t="s">
        <v>312</v>
      </c>
      <c r="U111" s="48" t="s">
        <v>312</v>
      </c>
      <c r="V111" s="44" t="s">
        <v>480</v>
      </c>
      <c r="W111" s="44" t="s">
        <v>40</v>
      </c>
      <c r="X111" s="44" t="s">
        <v>37</v>
      </c>
    </row>
    <row r="112" spans="1:24" hidden="1" x14ac:dyDescent="0.3">
      <c r="A112" s="44">
        <v>110</v>
      </c>
      <c r="B112" s="44" t="s">
        <v>481</v>
      </c>
      <c r="C112" s="49" t="s">
        <v>482</v>
      </c>
      <c r="D112" s="44" t="s">
        <v>119</v>
      </c>
      <c r="E112" s="44" t="s">
        <v>470</v>
      </c>
      <c r="F112" s="44" t="s">
        <v>121</v>
      </c>
      <c r="G112" s="44" t="s">
        <v>122</v>
      </c>
      <c r="H112" s="44" t="s">
        <v>123</v>
      </c>
      <c r="I112" s="44" t="s">
        <v>471</v>
      </c>
      <c r="J112" s="44" t="s">
        <v>213</v>
      </c>
      <c r="K112" s="1" t="s">
        <v>483</v>
      </c>
      <c r="M112" s="44"/>
      <c r="N112" s="44" t="s">
        <v>127</v>
      </c>
      <c r="O112" s="46">
        <v>3</v>
      </c>
      <c r="P112" s="46">
        <f t="array" ref="P11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</v>
      </c>
      <c r="Q112" s="48" t="s">
        <v>312</v>
      </c>
      <c r="R112" s="46" t="s">
        <v>128</v>
      </c>
      <c r="S112" s="46" t="s">
        <v>38</v>
      </c>
      <c r="T112" s="48" t="s">
        <v>312</v>
      </c>
      <c r="U112" s="48" t="s">
        <v>312</v>
      </c>
      <c r="V112" s="44" t="s">
        <v>484</v>
      </c>
      <c r="W112" s="44" t="s">
        <v>40</v>
      </c>
      <c r="X112" s="44" t="s">
        <v>37</v>
      </c>
    </row>
    <row r="113" spans="1:24" hidden="1" x14ac:dyDescent="0.3">
      <c r="A113" s="44">
        <v>111</v>
      </c>
      <c r="B113" s="44" t="s">
        <v>485</v>
      </c>
      <c r="C113" s="49" t="s">
        <v>486</v>
      </c>
      <c r="D113" s="44" t="s">
        <v>119</v>
      </c>
      <c r="E113" s="44" t="s">
        <v>470</v>
      </c>
      <c r="F113" s="44" t="s">
        <v>140</v>
      </c>
      <c r="G113" s="44" t="s">
        <v>141</v>
      </c>
      <c r="H113" s="44" t="s">
        <v>123</v>
      </c>
      <c r="I113" s="44" t="s">
        <v>487</v>
      </c>
      <c r="J113" s="44" t="s">
        <v>143</v>
      </c>
      <c r="K113" s="1" t="s">
        <v>396</v>
      </c>
      <c r="M113" s="44"/>
      <c r="N113" s="44" t="s">
        <v>127</v>
      </c>
      <c r="O113" s="46">
        <v>0.14000000000000001</v>
      </c>
      <c r="P113" s="46">
        <f t="array" ref="P11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0.14000000000000001</v>
      </c>
      <c r="Q113" s="48" t="s">
        <v>312</v>
      </c>
      <c r="R113" s="46" t="s">
        <v>128</v>
      </c>
      <c r="S113" s="46" t="s">
        <v>38</v>
      </c>
      <c r="T113" s="48" t="s">
        <v>312</v>
      </c>
      <c r="U113" s="48" t="s">
        <v>312</v>
      </c>
      <c r="V113" s="44" t="s">
        <v>488</v>
      </c>
      <c r="W113" s="44" t="s">
        <v>40</v>
      </c>
      <c r="X113" s="44" t="s">
        <v>37</v>
      </c>
    </row>
    <row r="114" spans="1:24" hidden="1" x14ac:dyDescent="0.3">
      <c r="A114" s="44">
        <v>112</v>
      </c>
      <c r="B114" s="44" t="s">
        <v>489</v>
      </c>
      <c r="C114" s="49" t="s">
        <v>490</v>
      </c>
      <c r="D114" s="44" t="s">
        <v>119</v>
      </c>
      <c r="E114" s="44" t="s">
        <v>470</v>
      </c>
      <c r="F114" s="44" t="s">
        <v>140</v>
      </c>
      <c r="G114" s="44" t="s">
        <v>141</v>
      </c>
      <c r="H114" s="44" t="s">
        <v>123</v>
      </c>
      <c r="I114" s="44" t="s">
        <v>491</v>
      </c>
      <c r="J114" s="44" t="s">
        <v>143</v>
      </c>
      <c r="K114" s="1" t="s">
        <v>475</v>
      </c>
      <c r="M114" s="44"/>
      <c r="N114" s="44" t="s">
        <v>127</v>
      </c>
      <c r="O114" s="46">
        <v>0.19</v>
      </c>
      <c r="P114" s="46">
        <f t="array" ref="P11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0.19</v>
      </c>
      <c r="Q114" s="48" t="s">
        <v>312</v>
      </c>
      <c r="R114" s="46" t="s">
        <v>128</v>
      </c>
      <c r="S114" s="46" t="s">
        <v>38</v>
      </c>
      <c r="T114" s="48" t="s">
        <v>312</v>
      </c>
      <c r="U114" s="48" t="s">
        <v>312</v>
      </c>
      <c r="V114" s="44" t="s">
        <v>492</v>
      </c>
      <c r="W114" s="44" t="s">
        <v>40</v>
      </c>
      <c r="X114" s="44" t="s">
        <v>37</v>
      </c>
    </row>
    <row r="115" spans="1:24" hidden="1" x14ac:dyDescent="0.3">
      <c r="A115" s="44">
        <v>113</v>
      </c>
      <c r="B115" s="44" t="s">
        <v>493</v>
      </c>
      <c r="C115" s="49" t="s">
        <v>494</v>
      </c>
      <c r="D115" s="44" t="s">
        <v>119</v>
      </c>
      <c r="E115" s="44" t="s">
        <v>470</v>
      </c>
      <c r="F115" s="44" t="s">
        <v>140</v>
      </c>
      <c r="G115" s="44" t="s">
        <v>141</v>
      </c>
      <c r="H115" s="44" t="s">
        <v>123</v>
      </c>
      <c r="I115" s="44" t="s">
        <v>491</v>
      </c>
      <c r="J115" s="44" t="s">
        <v>143</v>
      </c>
      <c r="K115" s="1" t="s">
        <v>479</v>
      </c>
      <c r="M115" s="44"/>
      <c r="N115" s="44" t="s">
        <v>127</v>
      </c>
      <c r="O115" s="46">
        <v>0.36</v>
      </c>
      <c r="P115" s="46">
        <f t="array" ref="P11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0.36</v>
      </c>
      <c r="Q115" s="48" t="s">
        <v>312</v>
      </c>
      <c r="R115" s="46" t="s">
        <v>128</v>
      </c>
      <c r="S115" s="46" t="s">
        <v>38</v>
      </c>
      <c r="T115" s="48" t="s">
        <v>312</v>
      </c>
      <c r="U115" s="48" t="s">
        <v>312</v>
      </c>
      <c r="V115" s="44" t="s">
        <v>495</v>
      </c>
      <c r="W115" s="44" t="s">
        <v>40</v>
      </c>
      <c r="X115" s="44" t="s">
        <v>37</v>
      </c>
    </row>
    <row r="116" spans="1:24" hidden="1" x14ac:dyDescent="0.3">
      <c r="A116" s="44">
        <v>114</v>
      </c>
      <c r="B116" s="44" t="s">
        <v>496</v>
      </c>
      <c r="C116" s="49" t="s">
        <v>497</v>
      </c>
      <c r="D116" s="44" t="s">
        <v>119</v>
      </c>
      <c r="E116" s="44" t="s">
        <v>470</v>
      </c>
      <c r="F116" s="44" t="s">
        <v>140</v>
      </c>
      <c r="G116" s="44" t="s">
        <v>141</v>
      </c>
      <c r="H116" s="44" t="s">
        <v>123</v>
      </c>
      <c r="I116" s="44" t="s">
        <v>491</v>
      </c>
      <c r="J116" s="44" t="s">
        <v>143</v>
      </c>
      <c r="K116" s="1" t="s">
        <v>483</v>
      </c>
      <c r="M116" s="44"/>
      <c r="N116" s="44" t="s">
        <v>127</v>
      </c>
      <c r="O116" s="46">
        <v>1.54</v>
      </c>
      <c r="P116" s="46">
        <f t="array" ref="P11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1.54</v>
      </c>
      <c r="Q116" s="48" t="s">
        <v>312</v>
      </c>
      <c r="R116" s="46" t="s">
        <v>128</v>
      </c>
      <c r="S116" s="46" t="s">
        <v>38</v>
      </c>
      <c r="T116" s="48" t="s">
        <v>312</v>
      </c>
      <c r="U116" s="48" t="s">
        <v>312</v>
      </c>
      <c r="V116" s="44" t="s">
        <v>498</v>
      </c>
      <c r="W116" s="44" t="s">
        <v>40</v>
      </c>
      <c r="X116" s="44" t="s">
        <v>37</v>
      </c>
    </row>
    <row r="117" spans="1:24" hidden="1" x14ac:dyDescent="0.3">
      <c r="A117" s="44">
        <v>115</v>
      </c>
      <c r="B117" s="44" t="s">
        <v>499</v>
      </c>
      <c r="C117" s="49" t="s">
        <v>500</v>
      </c>
      <c r="D117" s="44" t="s">
        <v>119</v>
      </c>
      <c r="E117" s="44" t="s">
        <v>470</v>
      </c>
      <c r="F117" s="44" t="s">
        <v>140</v>
      </c>
      <c r="G117" s="44" t="s">
        <v>501</v>
      </c>
      <c r="H117" s="44" t="s">
        <v>123</v>
      </c>
      <c r="I117" s="44" t="s">
        <v>502</v>
      </c>
      <c r="J117" s="44" t="s">
        <v>143</v>
      </c>
      <c r="K117" s="1" t="s">
        <v>396</v>
      </c>
      <c r="M117" s="44"/>
      <c r="N117" s="44" t="s">
        <v>127</v>
      </c>
      <c r="O117" s="46">
        <v>0.3</v>
      </c>
      <c r="P117" s="46">
        <f t="array" ref="P11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0.3</v>
      </c>
      <c r="Q117" s="48" t="s">
        <v>312</v>
      </c>
      <c r="R117" s="46" t="s">
        <v>128</v>
      </c>
      <c r="S117" s="46" t="s">
        <v>38</v>
      </c>
      <c r="T117" s="48" t="s">
        <v>312</v>
      </c>
      <c r="U117" s="48" t="s">
        <v>312</v>
      </c>
      <c r="V117" s="44" t="s">
        <v>503</v>
      </c>
      <c r="W117" s="44" t="s">
        <v>40</v>
      </c>
      <c r="X117" s="44" t="s">
        <v>37</v>
      </c>
    </row>
    <row r="118" spans="1:24" hidden="1" x14ac:dyDescent="0.3">
      <c r="A118" s="44">
        <v>116</v>
      </c>
      <c r="B118" s="44" t="s">
        <v>504</v>
      </c>
      <c r="C118" s="49" t="s">
        <v>505</v>
      </c>
      <c r="D118" s="44" t="s">
        <v>119</v>
      </c>
      <c r="E118" s="44" t="s">
        <v>470</v>
      </c>
      <c r="F118" s="44" t="s">
        <v>140</v>
      </c>
      <c r="G118" s="44" t="s">
        <v>501</v>
      </c>
      <c r="H118" s="44" t="s">
        <v>123</v>
      </c>
      <c r="I118" s="44" t="s">
        <v>502</v>
      </c>
      <c r="J118" s="44" t="s">
        <v>143</v>
      </c>
      <c r="K118" s="1" t="s">
        <v>475</v>
      </c>
      <c r="M118" s="44"/>
      <c r="N118" s="44" t="s">
        <v>127</v>
      </c>
      <c r="O118" s="46">
        <v>0.39</v>
      </c>
      <c r="P118" s="46">
        <f t="array" ref="P11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0.39</v>
      </c>
      <c r="Q118" s="48" t="s">
        <v>312</v>
      </c>
      <c r="R118" s="46" t="s">
        <v>128</v>
      </c>
      <c r="S118" s="46" t="s">
        <v>38</v>
      </c>
      <c r="T118" s="48" t="s">
        <v>312</v>
      </c>
      <c r="U118" s="48" t="s">
        <v>312</v>
      </c>
      <c r="V118" s="44" t="s">
        <v>506</v>
      </c>
      <c r="W118" s="44" t="s">
        <v>40</v>
      </c>
      <c r="X118" s="44" t="s">
        <v>37</v>
      </c>
    </row>
    <row r="119" spans="1:24" hidden="1" x14ac:dyDescent="0.3">
      <c r="A119" s="44">
        <v>117</v>
      </c>
      <c r="B119" s="44" t="s">
        <v>507</v>
      </c>
      <c r="C119" s="49" t="s">
        <v>508</v>
      </c>
      <c r="D119" s="44" t="s">
        <v>119</v>
      </c>
      <c r="E119" s="44" t="s">
        <v>470</v>
      </c>
      <c r="F119" s="44" t="s">
        <v>140</v>
      </c>
      <c r="G119" s="44" t="s">
        <v>501</v>
      </c>
      <c r="H119" s="44" t="s">
        <v>123</v>
      </c>
      <c r="I119" s="44" t="s">
        <v>509</v>
      </c>
      <c r="J119" s="44" t="s">
        <v>143</v>
      </c>
      <c r="K119" s="1" t="s">
        <v>479</v>
      </c>
      <c r="M119" s="44"/>
      <c r="N119" s="44" t="s">
        <v>127</v>
      </c>
      <c r="O119" s="46">
        <v>0.57999999999999996</v>
      </c>
      <c r="P119" s="46">
        <f t="array" ref="P11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0.57999999999999996</v>
      </c>
      <c r="Q119" s="48" t="s">
        <v>312</v>
      </c>
      <c r="R119" s="46" t="s">
        <v>128</v>
      </c>
      <c r="S119" s="46" t="s">
        <v>38</v>
      </c>
      <c r="T119" s="48" t="s">
        <v>312</v>
      </c>
      <c r="U119" s="48" t="s">
        <v>312</v>
      </c>
      <c r="V119" s="44" t="s">
        <v>510</v>
      </c>
      <c r="W119" s="44" t="s">
        <v>40</v>
      </c>
      <c r="X119" s="44" t="s">
        <v>37</v>
      </c>
    </row>
    <row r="120" spans="1:24" hidden="1" x14ac:dyDescent="0.3">
      <c r="A120" s="44">
        <v>118</v>
      </c>
      <c r="B120" s="44" t="s">
        <v>511</v>
      </c>
      <c r="C120" s="49" t="s">
        <v>512</v>
      </c>
      <c r="D120" s="44" t="s">
        <v>119</v>
      </c>
      <c r="E120" s="44" t="s">
        <v>470</v>
      </c>
      <c r="F120" s="44" t="s">
        <v>140</v>
      </c>
      <c r="G120" s="44" t="s">
        <v>513</v>
      </c>
      <c r="H120" s="44" t="s">
        <v>123</v>
      </c>
      <c r="I120" s="44" t="s">
        <v>514</v>
      </c>
      <c r="J120" s="44" t="s">
        <v>143</v>
      </c>
      <c r="K120" s="1" t="s">
        <v>515</v>
      </c>
      <c r="M120" s="44"/>
      <c r="N120" s="44" t="s">
        <v>127</v>
      </c>
      <c r="O120" s="46">
        <v>0.63</v>
      </c>
      <c r="P120" s="46">
        <f t="array" ref="P12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0.63</v>
      </c>
      <c r="Q120" s="48" t="s">
        <v>312</v>
      </c>
      <c r="R120" s="46" t="s">
        <v>128</v>
      </c>
      <c r="S120" s="46" t="s">
        <v>38</v>
      </c>
      <c r="T120" s="48" t="s">
        <v>312</v>
      </c>
      <c r="U120" s="48" t="s">
        <v>312</v>
      </c>
      <c r="V120" s="44" t="s">
        <v>516</v>
      </c>
      <c r="W120" s="44" t="s">
        <v>40</v>
      </c>
      <c r="X120" s="44" t="s">
        <v>37</v>
      </c>
    </row>
    <row r="121" spans="1:24" hidden="1" x14ac:dyDescent="0.3">
      <c r="A121" s="44">
        <v>119</v>
      </c>
      <c r="B121" s="44" t="s">
        <v>517</v>
      </c>
      <c r="C121" s="49" t="s">
        <v>518</v>
      </c>
      <c r="D121" s="44" t="s">
        <v>119</v>
      </c>
      <c r="E121" s="44" t="s">
        <v>470</v>
      </c>
      <c r="F121" s="44" t="s">
        <v>140</v>
      </c>
      <c r="G121" s="44" t="s">
        <v>513</v>
      </c>
      <c r="H121" s="44" t="s">
        <v>519</v>
      </c>
      <c r="I121" s="44" t="s">
        <v>520</v>
      </c>
      <c r="J121" s="44" t="s">
        <v>143</v>
      </c>
      <c r="K121" s="1" t="s">
        <v>521</v>
      </c>
      <c r="M121" s="44"/>
      <c r="N121" s="44" t="s">
        <v>127</v>
      </c>
      <c r="O121" s="46">
        <v>0.75</v>
      </c>
      <c r="P121" s="46">
        <f t="array" ref="P12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0.65217391304347827</v>
      </c>
      <c r="Q121" s="48" t="s">
        <v>312</v>
      </c>
      <c r="R121" s="46" t="s">
        <v>522</v>
      </c>
      <c r="S121" s="46" t="s">
        <v>398</v>
      </c>
      <c r="T121" s="48" t="s">
        <v>312</v>
      </c>
      <c r="U121" s="48" t="s">
        <v>312</v>
      </c>
      <c r="V121" s="44" t="s">
        <v>523</v>
      </c>
      <c r="W121" s="44" t="s">
        <v>40</v>
      </c>
      <c r="X121" s="44" t="s">
        <v>37</v>
      </c>
    </row>
    <row r="122" spans="1:24" hidden="1" x14ac:dyDescent="0.3">
      <c r="A122" s="44">
        <v>120</v>
      </c>
      <c r="B122" s="44" t="s">
        <v>524</v>
      </c>
      <c r="C122" s="49" t="s">
        <v>525</v>
      </c>
      <c r="D122" s="44" t="s">
        <v>119</v>
      </c>
      <c r="E122" s="44" t="s">
        <v>470</v>
      </c>
      <c r="F122" s="44" t="s">
        <v>392</v>
      </c>
      <c r="G122" s="44" t="s">
        <v>526</v>
      </c>
      <c r="H122" s="44" t="s">
        <v>527</v>
      </c>
      <c r="I122" s="44" t="s">
        <v>528</v>
      </c>
      <c r="J122" s="44" t="s">
        <v>529</v>
      </c>
      <c r="K122" s="1" t="s">
        <v>530</v>
      </c>
      <c r="L122" s="1" t="s">
        <v>531</v>
      </c>
      <c r="M122" s="44"/>
      <c r="N122" s="44" t="s">
        <v>127</v>
      </c>
      <c r="O122" s="46">
        <v>1.3</v>
      </c>
      <c r="P122" s="46">
        <f t="array" ref="P12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1.1304347826086958</v>
      </c>
      <c r="Q122" s="48" t="s">
        <v>312</v>
      </c>
      <c r="R122" s="46" t="s">
        <v>397</v>
      </c>
      <c r="S122" s="46" t="s">
        <v>398</v>
      </c>
      <c r="T122" s="48" t="s">
        <v>312</v>
      </c>
      <c r="U122" s="48" t="s">
        <v>312</v>
      </c>
      <c r="V122" s="44" t="s">
        <v>532</v>
      </c>
      <c r="W122" s="44" t="s">
        <v>40</v>
      </c>
      <c r="X122" s="44" t="s">
        <v>37</v>
      </c>
    </row>
    <row r="123" spans="1:24" hidden="1" x14ac:dyDescent="0.3">
      <c r="A123" s="44">
        <v>121</v>
      </c>
      <c r="B123" s="44" t="s">
        <v>533</v>
      </c>
      <c r="C123" s="49" t="s">
        <v>534</v>
      </c>
      <c r="D123" s="44" t="s">
        <v>119</v>
      </c>
      <c r="E123" s="44" t="s">
        <v>470</v>
      </c>
      <c r="F123" s="44" t="s">
        <v>140</v>
      </c>
      <c r="G123" s="44" t="s">
        <v>513</v>
      </c>
      <c r="H123" s="44" t="s">
        <v>123</v>
      </c>
      <c r="I123" s="44" t="s">
        <v>535</v>
      </c>
      <c r="J123" s="44" t="s">
        <v>143</v>
      </c>
      <c r="K123" s="1" t="s">
        <v>536</v>
      </c>
      <c r="M123" s="44"/>
      <c r="N123" s="44" t="s">
        <v>127</v>
      </c>
      <c r="O123" s="46">
        <v>1.2</v>
      </c>
      <c r="P123" s="46">
        <f t="array" ref="P12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1.2</v>
      </c>
      <c r="Q123" s="48" t="s">
        <v>312</v>
      </c>
      <c r="R123" s="46" t="s">
        <v>128</v>
      </c>
      <c r="S123" s="46" t="s">
        <v>38</v>
      </c>
      <c r="T123" s="48" t="s">
        <v>312</v>
      </c>
      <c r="U123" s="48" t="s">
        <v>312</v>
      </c>
      <c r="V123" s="44" t="s">
        <v>537</v>
      </c>
      <c r="W123" s="44" t="s">
        <v>40</v>
      </c>
      <c r="X123" s="44" t="s">
        <v>37</v>
      </c>
    </row>
    <row r="124" spans="1:24" hidden="1" x14ac:dyDescent="0.3">
      <c r="A124" s="44">
        <v>122</v>
      </c>
      <c r="B124" s="44" t="s">
        <v>538</v>
      </c>
      <c r="C124" s="49" t="s">
        <v>539</v>
      </c>
      <c r="D124" s="44" t="s">
        <v>119</v>
      </c>
      <c r="E124" s="44" t="s">
        <v>470</v>
      </c>
      <c r="F124" s="44" t="s">
        <v>140</v>
      </c>
      <c r="G124" s="44" t="s">
        <v>540</v>
      </c>
      <c r="H124" s="44" t="s">
        <v>123</v>
      </c>
      <c r="I124" s="44" t="s">
        <v>541</v>
      </c>
      <c r="J124" s="44" t="s">
        <v>143</v>
      </c>
      <c r="K124" s="1" t="s">
        <v>536</v>
      </c>
      <c r="M124" s="44"/>
      <c r="N124" s="44" t="s">
        <v>127</v>
      </c>
      <c r="O124" s="46">
        <v>0.43</v>
      </c>
      <c r="P124" s="46">
        <f t="array" ref="P12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0.43</v>
      </c>
      <c r="Q124" s="48" t="s">
        <v>312</v>
      </c>
      <c r="R124" s="46" t="s">
        <v>128</v>
      </c>
      <c r="S124" s="46" t="s">
        <v>38</v>
      </c>
      <c r="T124" s="48" t="s">
        <v>312</v>
      </c>
      <c r="U124" s="48" t="s">
        <v>312</v>
      </c>
      <c r="V124" s="44" t="s">
        <v>542</v>
      </c>
      <c r="W124" s="44" t="s">
        <v>40</v>
      </c>
      <c r="X124" s="44" t="s">
        <v>37</v>
      </c>
    </row>
    <row r="125" spans="1:24" hidden="1" x14ac:dyDescent="0.3">
      <c r="A125" s="44">
        <v>123</v>
      </c>
      <c r="B125" s="44" t="s">
        <v>543</v>
      </c>
      <c r="C125" s="49" t="s">
        <v>544</v>
      </c>
      <c r="D125" s="44" t="s">
        <v>119</v>
      </c>
      <c r="E125" s="44" t="s">
        <v>470</v>
      </c>
      <c r="F125" s="44" t="s">
        <v>121</v>
      </c>
      <c r="G125" s="44" t="s">
        <v>122</v>
      </c>
      <c r="H125" s="44" t="s">
        <v>545</v>
      </c>
      <c r="I125" s="44" t="s">
        <v>471</v>
      </c>
      <c r="J125" s="44" t="s">
        <v>213</v>
      </c>
      <c r="K125" s="1" t="s">
        <v>214</v>
      </c>
      <c r="M125" s="44"/>
      <c r="N125" s="44" t="s">
        <v>127</v>
      </c>
      <c r="O125" s="46">
        <v>4.8499999999999996</v>
      </c>
      <c r="P125" s="46">
        <f t="array" ref="P12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4.2173913043478262</v>
      </c>
      <c r="Q125" s="48" t="s">
        <v>312</v>
      </c>
      <c r="R125" s="46" t="s">
        <v>522</v>
      </c>
      <c r="S125" s="46" t="s">
        <v>398</v>
      </c>
      <c r="T125" s="48" t="s">
        <v>312</v>
      </c>
      <c r="U125" s="48" t="s">
        <v>312</v>
      </c>
      <c r="V125" s="44" t="s">
        <v>546</v>
      </c>
      <c r="W125" s="44" t="s">
        <v>40</v>
      </c>
      <c r="X125" s="44" t="s">
        <v>37</v>
      </c>
    </row>
    <row r="126" spans="1:24" hidden="1" x14ac:dyDescent="0.3">
      <c r="A126" s="44">
        <v>124</v>
      </c>
      <c r="B126" s="44" t="s">
        <v>547</v>
      </c>
      <c r="C126" s="49" t="s">
        <v>548</v>
      </c>
      <c r="D126" s="44" t="s">
        <v>119</v>
      </c>
      <c r="E126" s="44" t="s">
        <v>470</v>
      </c>
      <c r="F126" s="44" t="s">
        <v>140</v>
      </c>
      <c r="G126" s="44" t="s">
        <v>141</v>
      </c>
      <c r="H126" s="44" t="s">
        <v>549</v>
      </c>
      <c r="I126" s="44" t="s">
        <v>491</v>
      </c>
      <c r="J126" s="44" t="s">
        <v>143</v>
      </c>
      <c r="K126" s="1" t="s">
        <v>214</v>
      </c>
      <c r="M126" s="44"/>
      <c r="N126" s="44" t="s">
        <v>127</v>
      </c>
      <c r="O126" s="46">
        <v>1.1000000000000001</v>
      </c>
      <c r="P126" s="46">
        <f t="array" ref="P12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0.95652173913043492</v>
      </c>
      <c r="Q126" s="48" t="s">
        <v>312</v>
      </c>
      <c r="R126" s="46" t="s">
        <v>522</v>
      </c>
      <c r="S126" s="46" t="s">
        <v>398</v>
      </c>
      <c r="T126" s="48" t="s">
        <v>312</v>
      </c>
      <c r="U126" s="48" t="s">
        <v>312</v>
      </c>
      <c r="V126" s="44" t="s">
        <v>550</v>
      </c>
      <c r="W126" s="44" t="s">
        <v>40</v>
      </c>
      <c r="X126" s="44" t="s">
        <v>37</v>
      </c>
    </row>
    <row r="127" spans="1:24" hidden="1" x14ac:dyDescent="0.3">
      <c r="A127" s="44">
        <v>125</v>
      </c>
      <c r="B127" s="44" t="s">
        <v>551</v>
      </c>
      <c r="C127" s="49" t="s">
        <v>552</v>
      </c>
      <c r="D127" s="44" t="s">
        <v>119</v>
      </c>
      <c r="E127" s="44" t="s">
        <v>470</v>
      </c>
      <c r="F127" s="44" t="s">
        <v>121</v>
      </c>
      <c r="G127" s="44" t="s">
        <v>553</v>
      </c>
      <c r="H127" s="44" t="s">
        <v>554</v>
      </c>
      <c r="I127" s="44" t="s">
        <v>555</v>
      </c>
      <c r="J127" s="44" t="s">
        <v>556</v>
      </c>
      <c r="K127" s="1" t="s">
        <v>557</v>
      </c>
      <c r="M127" s="44"/>
      <c r="N127" s="44" t="s">
        <v>556</v>
      </c>
      <c r="O127" s="46">
        <v>1.22</v>
      </c>
      <c r="P127" s="46">
        <f t="array" ref="P12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1.22</v>
      </c>
      <c r="Q127" s="48" t="s">
        <v>312</v>
      </c>
      <c r="R127" s="46" t="s">
        <v>128</v>
      </c>
      <c r="S127" s="46" t="s">
        <v>38</v>
      </c>
      <c r="T127" s="48" t="s">
        <v>312</v>
      </c>
      <c r="U127" s="48" t="s">
        <v>312</v>
      </c>
      <c r="V127" s="44" t="s">
        <v>558</v>
      </c>
      <c r="W127" s="44" t="s">
        <v>40</v>
      </c>
      <c r="X127" s="44" t="s">
        <v>37</v>
      </c>
    </row>
    <row r="128" spans="1:24" hidden="1" x14ac:dyDescent="0.3">
      <c r="A128" s="44">
        <v>126</v>
      </c>
      <c r="B128" s="44" t="s">
        <v>559</v>
      </c>
      <c r="C128" s="49" t="s">
        <v>560</v>
      </c>
      <c r="D128" s="44" t="s">
        <v>119</v>
      </c>
      <c r="E128" s="44" t="s">
        <v>470</v>
      </c>
      <c r="F128" s="44" t="s">
        <v>121</v>
      </c>
      <c r="G128" s="44" t="s">
        <v>553</v>
      </c>
      <c r="H128" s="44" t="s">
        <v>554</v>
      </c>
      <c r="I128" s="44" t="s">
        <v>555</v>
      </c>
      <c r="J128" s="44" t="s">
        <v>556</v>
      </c>
      <c r="K128" s="1" t="s">
        <v>561</v>
      </c>
      <c r="M128" s="44"/>
      <c r="N128" s="44" t="s">
        <v>556</v>
      </c>
      <c r="O128" s="46">
        <v>0.87</v>
      </c>
      <c r="P128" s="46">
        <f t="array" ref="P12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0.87</v>
      </c>
      <c r="Q128" s="48" t="s">
        <v>312</v>
      </c>
      <c r="R128" s="46" t="s">
        <v>128</v>
      </c>
      <c r="S128" s="46" t="s">
        <v>38</v>
      </c>
      <c r="T128" s="48" t="s">
        <v>312</v>
      </c>
      <c r="U128" s="48" t="s">
        <v>312</v>
      </c>
      <c r="V128" s="44" t="s">
        <v>562</v>
      </c>
      <c r="W128" s="44" t="s">
        <v>40</v>
      </c>
      <c r="X128" s="44" t="s">
        <v>37</v>
      </c>
    </row>
    <row r="129" spans="1:24" hidden="1" x14ac:dyDescent="0.3">
      <c r="A129" s="44">
        <v>127</v>
      </c>
      <c r="B129" s="44" t="s">
        <v>563</v>
      </c>
      <c r="C129" s="49" t="s">
        <v>564</v>
      </c>
      <c r="D129" s="44" t="s">
        <v>119</v>
      </c>
      <c r="E129" s="44" t="s">
        <v>470</v>
      </c>
      <c r="F129" s="44" t="s">
        <v>121</v>
      </c>
      <c r="G129" s="44" t="s">
        <v>553</v>
      </c>
      <c r="H129" s="44" t="s">
        <v>554</v>
      </c>
      <c r="I129" s="44" t="s">
        <v>555</v>
      </c>
      <c r="J129" s="44" t="s">
        <v>556</v>
      </c>
      <c r="K129" s="1" t="s">
        <v>565</v>
      </c>
      <c r="M129" s="44"/>
      <c r="N129" s="44" t="s">
        <v>556</v>
      </c>
      <c r="O129" s="46">
        <v>2.33</v>
      </c>
      <c r="P129" s="46">
        <f t="array" ref="P12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2.33</v>
      </c>
      <c r="Q129" s="48" t="s">
        <v>312</v>
      </c>
      <c r="R129" s="46" t="s">
        <v>128</v>
      </c>
      <c r="S129" s="46" t="s">
        <v>38</v>
      </c>
      <c r="T129" s="48" t="s">
        <v>312</v>
      </c>
      <c r="U129" s="48" t="s">
        <v>312</v>
      </c>
      <c r="V129" s="44" t="s">
        <v>566</v>
      </c>
      <c r="W129" s="44" t="s">
        <v>40</v>
      </c>
      <c r="X129" s="44" t="s">
        <v>37</v>
      </c>
    </row>
    <row r="130" spans="1:24" hidden="1" x14ac:dyDescent="0.3">
      <c r="A130" s="44">
        <v>128</v>
      </c>
      <c r="B130" s="44" t="s">
        <v>567</v>
      </c>
      <c r="C130" s="49" t="s">
        <v>568</v>
      </c>
      <c r="D130" s="44" t="s">
        <v>119</v>
      </c>
      <c r="E130" s="44" t="s">
        <v>470</v>
      </c>
      <c r="F130" s="44" t="s">
        <v>121</v>
      </c>
      <c r="G130" s="44" t="s">
        <v>553</v>
      </c>
      <c r="H130" s="44" t="s">
        <v>554</v>
      </c>
      <c r="I130" s="44" t="s">
        <v>569</v>
      </c>
      <c r="J130" s="44" t="s">
        <v>556</v>
      </c>
      <c r="K130" s="1" t="s">
        <v>570</v>
      </c>
      <c r="M130" s="44"/>
      <c r="N130" s="44" t="s">
        <v>556</v>
      </c>
      <c r="O130" s="46">
        <v>0.31</v>
      </c>
      <c r="P130" s="46">
        <f t="array" ref="P13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0.31</v>
      </c>
      <c r="Q130" s="48" t="s">
        <v>312</v>
      </c>
      <c r="R130" s="46" t="s">
        <v>128</v>
      </c>
      <c r="S130" s="46" t="s">
        <v>38</v>
      </c>
      <c r="T130" s="48" t="s">
        <v>312</v>
      </c>
      <c r="U130" s="48" t="s">
        <v>312</v>
      </c>
      <c r="V130" s="44" t="s">
        <v>571</v>
      </c>
      <c r="W130" s="44" t="s">
        <v>40</v>
      </c>
      <c r="X130" s="44" t="s">
        <v>37</v>
      </c>
    </row>
    <row r="131" spans="1:24" hidden="1" x14ac:dyDescent="0.3">
      <c r="A131" s="44">
        <v>129</v>
      </c>
      <c r="B131" s="44" t="s">
        <v>572</v>
      </c>
      <c r="C131" s="49" t="s">
        <v>573</v>
      </c>
      <c r="D131" s="44" t="s">
        <v>119</v>
      </c>
      <c r="E131" s="44" t="s">
        <v>470</v>
      </c>
      <c r="F131" s="44" t="s">
        <v>121</v>
      </c>
      <c r="G131" s="44" t="s">
        <v>553</v>
      </c>
      <c r="H131" s="44" t="s">
        <v>554</v>
      </c>
      <c r="I131" s="44" t="s">
        <v>569</v>
      </c>
      <c r="J131" s="44" t="s">
        <v>556</v>
      </c>
      <c r="K131" s="1" t="s">
        <v>574</v>
      </c>
      <c r="M131" s="44"/>
      <c r="N131" s="44" t="s">
        <v>556</v>
      </c>
      <c r="O131" s="46">
        <v>0.64</v>
      </c>
      <c r="P131" s="46">
        <f t="array" ref="P13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0.64</v>
      </c>
      <c r="Q131" s="48" t="s">
        <v>312</v>
      </c>
      <c r="R131" s="46" t="s">
        <v>128</v>
      </c>
      <c r="S131" s="46" t="s">
        <v>38</v>
      </c>
      <c r="T131" s="48" t="s">
        <v>312</v>
      </c>
      <c r="U131" s="48" t="s">
        <v>312</v>
      </c>
      <c r="V131" s="44" t="s">
        <v>575</v>
      </c>
      <c r="W131" s="44" t="s">
        <v>40</v>
      </c>
      <c r="X131" s="44" t="s">
        <v>37</v>
      </c>
    </row>
    <row r="132" spans="1:24" hidden="1" x14ac:dyDescent="0.3">
      <c r="A132" s="44">
        <v>130</v>
      </c>
      <c r="B132" s="44" t="s">
        <v>576</v>
      </c>
      <c r="C132" s="49" t="s">
        <v>577</v>
      </c>
      <c r="D132" s="44" t="s">
        <v>119</v>
      </c>
      <c r="E132" s="44" t="s">
        <v>470</v>
      </c>
      <c r="F132" s="44" t="s">
        <v>121</v>
      </c>
      <c r="G132" s="44" t="s">
        <v>553</v>
      </c>
      <c r="H132" s="44" t="s">
        <v>554</v>
      </c>
      <c r="I132" s="44" t="s">
        <v>578</v>
      </c>
      <c r="J132" s="44" t="s">
        <v>556</v>
      </c>
      <c r="K132" s="1" t="s">
        <v>579</v>
      </c>
      <c r="M132" s="44"/>
      <c r="N132" s="44" t="s">
        <v>556</v>
      </c>
      <c r="O132" s="46">
        <v>2.69</v>
      </c>
      <c r="P132" s="46">
        <f t="array" ref="P13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2.69</v>
      </c>
      <c r="Q132" s="48" t="s">
        <v>312</v>
      </c>
      <c r="R132" s="46" t="s">
        <v>128</v>
      </c>
      <c r="S132" s="46" t="s">
        <v>38</v>
      </c>
      <c r="T132" s="48" t="s">
        <v>312</v>
      </c>
      <c r="U132" s="48" t="s">
        <v>312</v>
      </c>
      <c r="V132" s="44" t="s">
        <v>580</v>
      </c>
      <c r="W132" s="44" t="s">
        <v>40</v>
      </c>
      <c r="X132" s="44" t="s">
        <v>37</v>
      </c>
    </row>
    <row r="133" spans="1:24" hidden="1" x14ac:dyDescent="0.3">
      <c r="A133" s="44">
        <v>131</v>
      </c>
      <c r="B133" s="44" t="s">
        <v>581</v>
      </c>
      <c r="C133" s="49" t="s">
        <v>582</v>
      </c>
      <c r="D133" s="44" t="s">
        <v>119</v>
      </c>
      <c r="E133" s="44" t="s">
        <v>470</v>
      </c>
      <c r="F133" s="44" t="s">
        <v>121</v>
      </c>
      <c r="G133" s="44" t="s">
        <v>553</v>
      </c>
      <c r="H133" s="44" t="s">
        <v>554</v>
      </c>
      <c r="I133" s="44" t="s">
        <v>578</v>
      </c>
      <c r="J133" s="44" t="s">
        <v>556</v>
      </c>
      <c r="K133" s="1" t="s">
        <v>583</v>
      </c>
      <c r="M133" s="44"/>
      <c r="N133" s="44" t="s">
        <v>556</v>
      </c>
      <c r="O133" s="46">
        <v>1.71</v>
      </c>
      <c r="P133" s="46">
        <f t="array" ref="P13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1.71</v>
      </c>
      <c r="Q133" s="48" t="s">
        <v>312</v>
      </c>
      <c r="R133" s="46" t="s">
        <v>128</v>
      </c>
      <c r="S133" s="46" t="s">
        <v>38</v>
      </c>
      <c r="T133" s="48" t="s">
        <v>312</v>
      </c>
      <c r="U133" s="48" t="s">
        <v>312</v>
      </c>
      <c r="V133" s="44" t="s">
        <v>584</v>
      </c>
      <c r="W133" s="44" t="s">
        <v>40</v>
      </c>
      <c r="X133" s="44" t="s">
        <v>37</v>
      </c>
    </row>
    <row r="134" spans="1:24" hidden="1" x14ac:dyDescent="0.3">
      <c r="A134" s="44">
        <v>132</v>
      </c>
      <c r="B134" s="44" t="s">
        <v>585</v>
      </c>
      <c r="C134" s="49" t="s">
        <v>586</v>
      </c>
      <c r="D134" s="44" t="s">
        <v>119</v>
      </c>
      <c r="E134" s="44" t="s">
        <v>470</v>
      </c>
      <c r="F134" s="44" t="s">
        <v>121</v>
      </c>
      <c r="G134" s="44" t="s">
        <v>553</v>
      </c>
      <c r="H134" s="44" t="s">
        <v>554</v>
      </c>
      <c r="I134" s="44" t="s">
        <v>587</v>
      </c>
      <c r="J134" s="44" t="s">
        <v>556</v>
      </c>
      <c r="K134" s="1" t="s">
        <v>588</v>
      </c>
      <c r="M134" s="44"/>
      <c r="N134" s="44" t="s">
        <v>556</v>
      </c>
      <c r="O134" s="46">
        <v>0.97</v>
      </c>
      <c r="P134" s="46">
        <f t="array" ref="P13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0.97</v>
      </c>
      <c r="Q134" s="48" t="s">
        <v>312</v>
      </c>
      <c r="R134" s="46" t="s">
        <v>128</v>
      </c>
      <c r="S134" s="46" t="s">
        <v>38</v>
      </c>
      <c r="T134" s="48" t="s">
        <v>312</v>
      </c>
      <c r="U134" s="48" t="s">
        <v>312</v>
      </c>
      <c r="V134" s="44" t="s">
        <v>589</v>
      </c>
      <c r="W134" s="44" t="s">
        <v>40</v>
      </c>
      <c r="X134" s="44" t="s">
        <v>37</v>
      </c>
    </row>
    <row r="135" spans="1:24" hidden="1" x14ac:dyDescent="0.3">
      <c r="A135" s="44">
        <v>133</v>
      </c>
      <c r="B135" s="44" t="s">
        <v>590</v>
      </c>
      <c r="C135" s="49" t="s">
        <v>591</v>
      </c>
      <c r="D135" s="44" t="s">
        <v>119</v>
      </c>
      <c r="E135" s="44" t="s">
        <v>470</v>
      </c>
      <c r="F135" s="44" t="s">
        <v>121</v>
      </c>
      <c r="G135" s="44" t="s">
        <v>592</v>
      </c>
      <c r="H135" s="44" t="s">
        <v>554</v>
      </c>
      <c r="I135" s="44" t="s">
        <v>593</v>
      </c>
      <c r="J135" s="44" t="s">
        <v>594</v>
      </c>
      <c r="K135" s="1" t="s">
        <v>588</v>
      </c>
      <c r="L135" s="1" t="s">
        <v>595</v>
      </c>
      <c r="M135" s="44"/>
      <c r="N135" s="44" t="s">
        <v>127</v>
      </c>
      <c r="O135" s="46">
        <v>128.63999999999999</v>
      </c>
      <c r="P135" s="46">
        <f t="array" ref="P13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111.86086956521739</v>
      </c>
      <c r="Q135" s="48" t="s">
        <v>312</v>
      </c>
      <c r="R135" s="46" t="s">
        <v>397</v>
      </c>
      <c r="S135" s="46" t="s">
        <v>398</v>
      </c>
      <c r="T135" s="48" t="s">
        <v>312</v>
      </c>
      <c r="U135" s="48" t="s">
        <v>312</v>
      </c>
      <c r="V135" s="44" t="s">
        <v>596</v>
      </c>
      <c r="W135" s="44" t="s">
        <v>40</v>
      </c>
      <c r="X135" s="44" t="s">
        <v>37</v>
      </c>
    </row>
    <row r="136" spans="1:24" hidden="1" x14ac:dyDescent="0.3">
      <c r="A136" s="44">
        <v>134</v>
      </c>
      <c r="B136" s="44" t="s">
        <v>597</v>
      </c>
      <c r="C136" s="49" t="s">
        <v>598</v>
      </c>
      <c r="D136" s="44" t="s">
        <v>119</v>
      </c>
      <c r="E136" s="44" t="s">
        <v>470</v>
      </c>
      <c r="F136" s="44" t="s">
        <v>392</v>
      </c>
      <c r="G136" s="44" t="s">
        <v>526</v>
      </c>
      <c r="H136" s="44" t="s">
        <v>527</v>
      </c>
      <c r="I136" s="44" t="s">
        <v>599</v>
      </c>
      <c r="J136" s="44" t="s">
        <v>395</v>
      </c>
      <c r="K136" s="1" t="s">
        <v>530</v>
      </c>
      <c r="L136" s="1" t="s">
        <v>531</v>
      </c>
      <c r="M136" s="44"/>
      <c r="N136" s="44" t="s">
        <v>127</v>
      </c>
      <c r="O136" s="46">
        <v>14.07</v>
      </c>
      <c r="P136" s="46">
        <f t="array" ref="P13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12.234782608695653</v>
      </c>
      <c r="Q136" s="48" t="s">
        <v>312</v>
      </c>
      <c r="R136" s="46" t="s">
        <v>397</v>
      </c>
      <c r="S136" s="46" t="s">
        <v>398</v>
      </c>
      <c r="T136" s="48" t="s">
        <v>312</v>
      </c>
      <c r="U136" s="48" t="s">
        <v>312</v>
      </c>
      <c r="V136" s="44" t="s">
        <v>600</v>
      </c>
      <c r="W136" s="44" t="s">
        <v>40</v>
      </c>
      <c r="X136" s="44" t="s">
        <v>37</v>
      </c>
    </row>
    <row r="137" spans="1:24" hidden="1" x14ac:dyDescent="0.3">
      <c r="A137" s="44">
        <v>135</v>
      </c>
      <c r="B137" s="44" t="s">
        <v>601</v>
      </c>
      <c r="C137" s="49" t="s">
        <v>602</v>
      </c>
      <c r="D137" s="44" t="s">
        <v>119</v>
      </c>
      <c r="E137" s="44" t="s">
        <v>470</v>
      </c>
      <c r="F137" s="44" t="s">
        <v>392</v>
      </c>
      <c r="G137" s="44" t="s">
        <v>603</v>
      </c>
      <c r="H137" s="44" t="s">
        <v>604</v>
      </c>
      <c r="I137" s="44" t="s">
        <v>605</v>
      </c>
      <c r="J137" s="44" t="s">
        <v>606</v>
      </c>
      <c r="K137" s="1" t="s">
        <v>607</v>
      </c>
      <c r="M137" s="44"/>
      <c r="N137" s="44" t="s">
        <v>127</v>
      </c>
      <c r="O137" s="46">
        <v>3.97</v>
      </c>
      <c r="P137" s="46">
        <f t="array" ref="P13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3.4521739130434788</v>
      </c>
      <c r="Q137" s="48" t="s">
        <v>312</v>
      </c>
      <c r="R137" s="46" t="s">
        <v>397</v>
      </c>
      <c r="S137" s="46" t="s">
        <v>398</v>
      </c>
      <c r="T137" s="48" t="s">
        <v>312</v>
      </c>
      <c r="U137" s="48" t="s">
        <v>312</v>
      </c>
      <c r="V137" s="44" t="s">
        <v>608</v>
      </c>
      <c r="W137" s="44" t="s">
        <v>40</v>
      </c>
      <c r="X137" s="44" t="s">
        <v>37</v>
      </c>
    </row>
    <row r="138" spans="1:24" hidden="1" x14ac:dyDescent="0.3">
      <c r="A138" s="44">
        <v>136</v>
      </c>
      <c r="B138" s="44" t="s">
        <v>609</v>
      </c>
      <c r="C138" s="49" t="s">
        <v>610</v>
      </c>
      <c r="D138" s="44" t="s">
        <v>119</v>
      </c>
      <c r="E138" s="44" t="s">
        <v>470</v>
      </c>
      <c r="F138" s="44" t="s">
        <v>392</v>
      </c>
      <c r="G138" s="44" t="s">
        <v>611</v>
      </c>
      <c r="H138" s="44" t="s">
        <v>612</v>
      </c>
      <c r="I138" s="44" t="s">
        <v>613</v>
      </c>
      <c r="J138" s="44" t="s">
        <v>614</v>
      </c>
      <c r="K138" s="1" t="s">
        <v>615</v>
      </c>
      <c r="L138" s="1" t="s">
        <v>531</v>
      </c>
      <c r="M138" s="44"/>
      <c r="N138" s="44" t="s">
        <v>127</v>
      </c>
      <c r="O138" s="46">
        <v>10.95</v>
      </c>
      <c r="P138" s="46">
        <f t="array" ref="P13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9.5217391304347831</v>
      </c>
      <c r="Q138" s="48" t="s">
        <v>312</v>
      </c>
      <c r="R138" s="46" t="s">
        <v>397</v>
      </c>
      <c r="S138" s="46" t="s">
        <v>398</v>
      </c>
      <c r="T138" s="48" t="s">
        <v>312</v>
      </c>
      <c r="U138" s="48" t="s">
        <v>312</v>
      </c>
      <c r="V138" s="44" t="s">
        <v>616</v>
      </c>
      <c r="W138" s="44" t="s">
        <v>40</v>
      </c>
      <c r="X138" s="44" t="s">
        <v>37</v>
      </c>
    </row>
    <row r="139" spans="1:24" hidden="1" x14ac:dyDescent="0.3">
      <c r="A139" s="44">
        <v>137</v>
      </c>
      <c r="B139" s="44" t="s">
        <v>617</v>
      </c>
      <c r="C139" s="49" t="s">
        <v>618</v>
      </c>
      <c r="D139" s="44" t="s">
        <v>119</v>
      </c>
      <c r="E139" s="44" t="s">
        <v>470</v>
      </c>
      <c r="F139" s="44" t="s">
        <v>140</v>
      </c>
      <c r="G139" s="44" t="s">
        <v>619</v>
      </c>
      <c r="H139" s="44"/>
      <c r="I139" s="44" t="s">
        <v>620</v>
      </c>
      <c r="J139" s="44" t="s">
        <v>143</v>
      </c>
      <c r="K139" s="1" t="s">
        <v>621</v>
      </c>
      <c r="M139" s="44"/>
      <c r="N139" s="44" t="s">
        <v>127</v>
      </c>
      <c r="O139" s="46">
        <v>0.45</v>
      </c>
      <c r="P139" s="46">
        <f t="array" ref="P13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0.39130434782608697</v>
      </c>
      <c r="Q139" s="48" t="s">
        <v>312</v>
      </c>
      <c r="R139" s="46" t="s">
        <v>397</v>
      </c>
      <c r="S139" s="46" t="s">
        <v>398</v>
      </c>
      <c r="T139" s="48" t="s">
        <v>312</v>
      </c>
      <c r="U139" s="48" t="s">
        <v>312</v>
      </c>
      <c r="V139" s="44" t="s">
        <v>622</v>
      </c>
      <c r="W139" s="44" t="s">
        <v>40</v>
      </c>
      <c r="X139" s="44" t="s">
        <v>37</v>
      </c>
    </row>
    <row r="140" spans="1:24" hidden="1" x14ac:dyDescent="0.3">
      <c r="A140" s="44">
        <v>138</v>
      </c>
      <c r="B140" s="44" t="s">
        <v>623</v>
      </c>
      <c r="C140" s="49" t="s">
        <v>624</v>
      </c>
      <c r="D140" s="44" t="s">
        <v>119</v>
      </c>
      <c r="E140" s="44" t="s">
        <v>470</v>
      </c>
      <c r="F140" s="44" t="s">
        <v>140</v>
      </c>
      <c r="G140" s="44" t="s">
        <v>619</v>
      </c>
      <c r="H140" s="44"/>
      <c r="I140" s="44" t="s">
        <v>620</v>
      </c>
      <c r="J140" s="44" t="s">
        <v>143</v>
      </c>
      <c r="K140" s="1" t="s">
        <v>625</v>
      </c>
      <c r="M140" s="44"/>
      <c r="N140" s="44" t="s">
        <v>127</v>
      </c>
      <c r="O140" s="46">
        <v>0.87</v>
      </c>
      <c r="P140" s="46">
        <f t="array" ref="P14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0.75652173913043486</v>
      </c>
      <c r="Q140" s="48" t="s">
        <v>312</v>
      </c>
      <c r="R140" s="46" t="s">
        <v>397</v>
      </c>
      <c r="S140" s="46" t="s">
        <v>398</v>
      </c>
      <c r="T140" s="48" t="s">
        <v>312</v>
      </c>
      <c r="U140" s="48" t="s">
        <v>312</v>
      </c>
      <c r="V140" s="44" t="s">
        <v>626</v>
      </c>
      <c r="W140" s="44" t="s">
        <v>40</v>
      </c>
      <c r="X140" s="44" t="s">
        <v>37</v>
      </c>
    </row>
    <row r="141" spans="1:24" hidden="1" x14ac:dyDescent="0.3">
      <c r="A141" s="44">
        <v>139</v>
      </c>
      <c r="B141" s="44" t="s">
        <v>627</v>
      </c>
      <c r="C141" s="49" t="s">
        <v>628</v>
      </c>
      <c r="D141" s="44" t="s">
        <v>119</v>
      </c>
      <c r="E141" s="44" t="s">
        <v>470</v>
      </c>
      <c r="F141" s="44" t="s">
        <v>121</v>
      </c>
      <c r="G141" s="44" t="s">
        <v>629</v>
      </c>
      <c r="H141" s="44" t="s">
        <v>630</v>
      </c>
      <c r="I141" s="44" t="s">
        <v>631</v>
      </c>
      <c r="J141" s="44" t="s">
        <v>143</v>
      </c>
      <c r="L141" s="1" t="s">
        <v>632</v>
      </c>
      <c r="M141" s="44" t="s">
        <v>633</v>
      </c>
      <c r="N141" s="44" t="s">
        <v>127</v>
      </c>
      <c r="O141" s="46">
        <v>2.2000000000000002</v>
      </c>
      <c r="P141" s="46">
        <f t="array" ref="P14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2.2000000000000002</v>
      </c>
      <c r="Q141" s="48" t="s">
        <v>312</v>
      </c>
      <c r="R141" s="46" t="s">
        <v>634</v>
      </c>
      <c r="S141" s="46" t="s">
        <v>353</v>
      </c>
      <c r="T141" s="48" t="s">
        <v>312</v>
      </c>
      <c r="U141" s="48" t="s">
        <v>312</v>
      </c>
      <c r="V141" s="44" t="s">
        <v>635</v>
      </c>
      <c r="W141" s="44" t="s">
        <v>40</v>
      </c>
      <c r="X141" s="44" t="s">
        <v>37</v>
      </c>
    </row>
    <row r="142" spans="1:24" hidden="1" x14ac:dyDescent="0.3">
      <c r="A142" s="44">
        <v>140</v>
      </c>
      <c r="B142" s="44" t="s">
        <v>636</v>
      </c>
      <c r="C142" s="49" t="s">
        <v>637</v>
      </c>
      <c r="D142" s="44" t="s">
        <v>119</v>
      </c>
      <c r="E142" s="44" t="s">
        <v>470</v>
      </c>
      <c r="F142" s="44" t="s">
        <v>121</v>
      </c>
      <c r="G142" s="44" t="s">
        <v>638</v>
      </c>
      <c r="H142" s="44" t="s">
        <v>630</v>
      </c>
      <c r="I142" s="44" t="s">
        <v>639</v>
      </c>
      <c r="J142" s="44" t="s">
        <v>143</v>
      </c>
      <c r="L142" s="1" t="s">
        <v>632</v>
      </c>
      <c r="M142" s="44" t="s">
        <v>640</v>
      </c>
      <c r="N142" s="44" t="s">
        <v>127</v>
      </c>
      <c r="O142" s="46">
        <v>2.79</v>
      </c>
      <c r="P142" s="46">
        <f t="array" ref="P14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2.79</v>
      </c>
      <c r="Q142" s="48" t="s">
        <v>312</v>
      </c>
      <c r="R142" s="46" t="s">
        <v>634</v>
      </c>
      <c r="S142" s="46" t="s">
        <v>353</v>
      </c>
      <c r="T142" s="48" t="s">
        <v>312</v>
      </c>
      <c r="U142" s="48" t="s">
        <v>312</v>
      </c>
      <c r="V142" s="44" t="s">
        <v>641</v>
      </c>
      <c r="W142" s="44" t="s">
        <v>40</v>
      </c>
      <c r="X142" s="44" t="s">
        <v>37</v>
      </c>
    </row>
    <row r="143" spans="1:24" hidden="1" x14ac:dyDescent="0.3">
      <c r="A143" s="44">
        <v>141</v>
      </c>
      <c r="B143" s="44" t="s">
        <v>642</v>
      </c>
      <c r="C143" s="49" t="s">
        <v>643</v>
      </c>
      <c r="D143" s="44" t="s">
        <v>119</v>
      </c>
      <c r="E143" s="44" t="s">
        <v>470</v>
      </c>
      <c r="F143" s="44" t="s">
        <v>121</v>
      </c>
      <c r="G143" s="44" t="s">
        <v>638</v>
      </c>
      <c r="H143" s="44" t="s">
        <v>630</v>
      </c>
      <c r="I143" s="44" t="s">
        <v>644</v>
      </c>
      <c r="J143" s="44" t="s">
        <v>143</v>
      </c>
      <c r="L143" s="1" t="s">
        <v>632</v>
      </c>
      <c r="M143" s="44" t="s">
        <v>645</v>
      </c>
      <c r="N143" s="44" t="s">
        <v>127</v>
      </c>
      <c r="O143" s="46">
        <v>3.5</v>
      </c>
      <c r="P143" s="46">
        <f t="array" ref="P14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3.5</v>
      </c>
      <c r="Q143" s="48" t="s">
        <v>312</v>
      </c>
      <c r="R143" s="46" t="s">
        <v>634</v>
      </c>
      <c r="S143" s="46" t="s">
        <v>353</v>
      </c>
      <c r="T143" s="48" t="s">
        <v>312</v>
      </c>
      <c r="U143" s="48" t="s">
        <v>312</v>
      </c>
      <c r="V143" s="44" t="s">
        <v>646</v>
      </c>
      <c r="W143" s="44" t="s">
        <v>40</v>
      </c>
      <c r="X143" s="44" t="s">
        <v>37</v>
      </c>
    </row>
    <row r="144" spans="1:24" hidden="1" x14ac:dyDescent="0.3">
      <c r="A144" s="44">
        <v>142</v>
      </c>
      <c r="B144" s="44" t="s">
        <v>647</v>
      </c>
      <c r="C144" s="49" t="s">
        <v>648</v>
      </c>
      <c r="D144" s="44" t="s">
        <v>119</v>
      </c>
      <c r="E144" s="44" t="s">
        <v>470</v>
      </c>
      <c r="F144" s="44" t="s">
        <v>121</v>
      </c>
      <c r="G144" s="44" t="s">
        <v>629</v>
      </c>
      <c r="H144" s="44" t="s">
        <v>630</v>
      </c>
      <c r="I144" s="44" t="s">
        <v>649</v>
      </c>
      <c r="J144" s="44" t="s">
        <v>143</v>
      </c>
      <c r="K144" s="1" t="s">
        <v>650</v>
      </c>
      <c r="L144" s="1" t="s">
        <v>632</v>
      </c>
      <c r="M144" s="44" t="s">
        <v>651</v>
      </c>
      <c r="N144" s="44" t="s">
        <v>127</v>
      </c>
      <c r="O144" s="46">
        <v>4.6500000000000004</v>
      </c>
      <c r="P144" s="46">
        <f t="array" ref="P14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4.0434782608695654</v>
      </c>
      <c r="Q144" s="48" t="s">
        <v>312</v>
      </c>
      <c r="R144" s="46" t="s">
        <v>397</v>
      </c>
      <c r="S144" s="46" t="s">
        <v>398</v>
      </c>
      <c r="T144" s="48" t="s">
        <v>312</v>
      </c>
      <c r="U144" s="48" t="s">
        <v>312</v>
      </c>
      <c r="V144" s="44" t="s">
        <v>652</v>
      </c>
      <c r="W144" s="44" t="s">
        <v>40</v>
      </c>
      <c r="X144" s="44" t="s">
        <v>37</v>
      </c>
    </row>
    <row r="145" spans="1:24" hidden="1" x14ac:dyDescent="0.3">
      <c r="A145" s="44">
        <v>143</v>
      </c>
      <c r="B145" s="44" t="s">
        <v>653</v>
      </c>
      <c r="C145" s="49" t="s">
        <v>654</v>
      </c>
      <c r="D145" s="44" t="s">
        <v>119</v>
      </c>
      <c r="E145" s="44" t="s">
        <v>470</v>
      </c>
      <c r="F145" s="44" t="s">
        <v>121</v>
      </c>
      <c r="G145" s="44" t="s">
        <v>629</v>
      </c>
      <c r="H145" s="44" t="s">
        <v>630</v>
      </c>
      <c r="I145" s="44" t="s">
        <v>655</v>
      </c>
      <c r="J145" s="44" t="s">
        <v>143</v>
      </c>
      <c r="K145" s="1" t="s">
        <v>656</v>
      </c>
      <c r="L145" s="1" t="s">
        <v>632</v>
      </c>
      <c r="M145" s="44" t="s">
        <v>657</v>
      </c>
      <c r="N145" s="44" t="s">
        <v>127</v>
      </c>
      <c r="O145" s="46">
        <v>6.99</v>
      </c>
      <c r="P145" s="46">
        <f t="array" ref="P14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6.0782608695652183</v>
      </c>
      <c r="Q145" s="48" t="s">
        <v>312</v>
      </c>
      <c r="R145" s="46" t="s">
        <v>397</v>
      </c>
      <c r="S145" s="46" t="s">
        <v>398</v>
      </c>
      <c r="T145" s="48" t="s">
        <v>312</v>
      </c>
      <c r="U145" s="48" t="s">
        <v>312</v>
      </c>
      <c r="V145" s="44" t="s">
        <v>658</v>
      </c>
      <c r="W145" s="44" t="s">
        <v>40</v>
      </c>
      <c r="X145" s="44" t="s">
        <v>37</v>
      </c>
    </row>
    <row r="146" spans="1:24" hidden="1" x14ac:dyDescent="0.3">
      <c r="A146" s="44">
        <v>144</v>
      </c>
      <c r="B146" s="44" t="s">
        <v>659</v>
      </c>
      <c r="C146" s="49" t="s">
        <v>660</v>
      </c>
      <c r="D146" s="44" t="s">
        <v>119</v>
      </c>
      <c r="E146" s="44" t="s">
        <v>470</v>
      </c>
      <c r="F146" s="44" t="s">
        <v>121</v>
      </c>
      <c r="G146" s="44" t="s">
        <v>661</v>
      </c>
      <c r="H146" s="44" t="s">
        <v>630</v>
      </c>
      <c r="I146" s="44" t="s">
        <v>662</v>
      </c>
      <c r="J146" s="44" t="s">
        <v>143</v>
      </c>
      <c r="L146" s="1" t="s">
        <v>632</v>
      </c>
      <c r="M146" s="44" t="s">
        <v>663</v>
      </c>
      <c r="N146" s="44" t="s">
        <v>127</v>
      </c>
      <c r="O146" s="46">
        <v>1.92</v>
      </c>
      <c r="P146" s="46">
        <f t="array" ref="P14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1.92</v>
      </c>
      <c r="Q146" s="48" t="s">
        <v>312</v>
      </c>
      <c r="R146" s="46" t="s">
        <v>634</v>
      </c>
      <c r="S146" s="46" t="s">
        <v>353</v>
      </c>
      <c r="T146" s="48" t="s">
        <v>312</v>
      </c>
      <c r="U146" s="48" t="s">
        <v>312</v>
      </c>
      <c r="V146" s="44" t="s">
        <v>664</v>
      </c>
      <c r="W146" s="44" t="s">
        <v>40</v>
      </c>
      <c r="X146" s="44" t="s">
        <v>37</v>
      </c>
    </row>
    <row r="147" spans="1:24" hidden="1" x14ac:dyDescent="0.3">
      <c r="A147" s="44">
        <v>145</v>
      </c>
      <c r="B147" s="44" t="s">
        <v>665</v>
      </c>
      <c r="C147" s="49" t="s">
        <v>666</v>
      </c>
      <c r="D147" s="44" t="s">
        <v>119</v>
      </c>
      <c r="E147" s="44" t="s">
        <v>470</v>
      </c>
      <c r="F147" s="44" t="s">
        <v>121</v>
      </c>
      <c r="G147" s="44" t="s">
        <v>661</v>
      </c>
      <c r="H147" s="44" t="s">
        <v>630</v>
      </c>
      <c r="I147" s="44" t="s">
        <v>667</v>
      </c>
      <c r="J147" s="44" t="s">
        <v>143</v>
      </c>
      <c r="L147" s="1" t="s">
        <v>632</v>
      </c>
      <c r="M147" s="44" t="s">
        <v>663</v>
      </c>
      <c r="N147" s="44" t="s">
        <v>127</v>
      </c>
      <c r="O147" s="46">
        <v>1.77</v>
      </c>
      <c r="P147" s="46">
        <f t="array" ref="P14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1.77</v>
      </c>
      <c r="Q147" s="48" t="s">
        <v>312</v>
      </c>
      <c r="R147" s="46" t="s">
        <v>634</v>
      </c>
      <c r="S147" s="46" t="s">
        <v>353</v>
      </c>
      <c r="T147" s="48" t="s">
        <v>312</v>
      </c>
      <c r="U147" s="48" t="s">
        <v>312</v>
      </c>
      <c r="V147" s="44" t="s">
        <v>668</v>
      </c>
      <c r="W147" s="44" t="s">
        <v>40</v>
      </c>
      <c r="X147" s="44" t="s">
        <v>37</v>
      </c>
    </row>
    <row r="148" spans="1:24" hidden="1" x14ac:dyDescent="0.3">
      <c r="A148" s="44">
        <v>146</v>
      </c>
      <c r="B148" s="44" t="s">
        <v>669</v>
      </c>
      <c r="C148" s="49" t="s">
        <v>670</v>
      </c>
      <c r="D148" s="44" t="s">
        <v>119</v>
      </c>
      <c r="E148" s="44" t="s">
        <v>470</v>
      </c>
      <c r="F148" s="44" t="s">
        <v>121</v>
      </c>
      <c r="G148" s="44" t="s">
        <v>661</v>
      </c>
      <c r="H148" s="44" t="s">
        <v>630</v>
      </c>
      <c r="I148" s="44" t="s">
        <v>671</v>
      </c>
      <c r="J148" s="44" t="s">
        <v>143</v>
      </c>
      <c r="L148" s="1" t="s">
        <v>632</v>
      </c>
      <c r="M148" s="44" t="s">
        <v>663</v>
      </c>
      <c r="N148" s="44" t="s">
        <v>127</v>
      </c>
      <c r="O148" s="46">
        <v>2.73</v>
      </c>
      <c r="P148" s="46">
        <f t="array" ref="P14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2.73</v>
      </c>
      <c r="Q148" s="48" t="s">
        <v>312</v>
      </c>
      <c r="R148" s="46" t="s">
        <v>634</v>
      </c>
      <c r="S148" s="46" t="s">
        <v>353</v>
      </c>
      <c r="T148" s="48" t="s">
        <v>312</v>
      </c>
      <c r="U148" s="48" t="s">
        <v>312</v>
      </c>
      <c r="V148" s="44" t="s">
        <v>672</v>
      </c>
      <c r="W148" s="44" t="s">
        <v>40</v>
      </c>
      <c r="X148" s="44" t="s">
        <v>37</v>
      </c>
    </row>
    <row r="149" spans="1:24" hidden="1" x14ac:dyDescent="0.3">
      <c r="A149" s="44">
        <v>147</v>
      </c>
      <c r="B149" s="44" t="s">
        <v>673</v>
      </c>
      <c r="C149" s="49" t="s">
        <v>674</v>
      </c>
      <c r="D149" s="44" t="s">
        <v>119</v>
      </c>
      <c r="E149" s="44" t="s">
        <v>470</v>
      </c>
      <c r="F149" s="44" t="s">
        <v>121</v>
      </c>
      <c r="G149" s="44" t="s">
        <v>661</v>
      </c>
      <c r="H149" s="44" t="s">
        <v>630</v>
      </c>
      <c r="I149" s="44" t="s">
        <v>675</v>
      </c>
      <c r="J149" s="44" t="s">
        <v>143</v>
      </c>
      <c r="L149" s="1" t="s">
        <v>632</v>
      </c>
      <c r="M149" s="44" t="s">
        <v>663</v>
      </c>
      <c r="N149" s="44" t="s">
        <v>127</v>
      </c>
      <c r="O149" s="46">
        <v>4.18</v>
      </c>
      <c r="P149" s="46">
        <f t="array" ref="P14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4.18</v>
      </c>
      <c r="Q149" s="48" t="s">
        <v>312</v>
      </c>
      <c r="R149" s="46" t="s">
        <v>634</v>
      </c>
      <c r="S149" s="46" t="s">
        <v>353</v>
      </c>
      <c r="T149" s="48" t="s">
        <v>312</v>
      </c>
      <c r="U149" s="48" t="s">
        <v>312</v>
      </c>
      <c r="V149" s="44" t="s">
        <v>668</v>
      </c>
      <c r="W149" s="44" t="s">
        <v>40</v>
      </c>
      <c r="X149" s="44" t="s">
        <v>37</v>
      </c>
    </row>
    <row r="150" spans="1:24" hidden="1" x14ac:dyDescent="0.3">
      <c r="A150" s="44">
        <v>148</v>
      </c>
      <c r="B150" s="44" t="s">
        <v>676</v>
      </c>
      <c r="C150" s="49" t="s">
        <v>677</v>
      </c>
      <c r="D150" s="44" t="s">
        <v>119</v>
      </c>
      <c r="E150" s="44" t="s">
        <v>470</v>
      </c>
      <c r="F150" s="44" t="s">
        <v>121</v>
      </c>
      <c r="G150" s="44" t="s">
        <v>678</v>
      </c>
      <c r="H150" s="44" t="s">
        <v>679</v>
      </c>
      <c r="I150" s="44" t="s">
        <v>680</v>
      </c>
      <c r="J150" s="44" t="s">
        <v>143</v>
      </c>
      <c r="M150" s="44" t="s">
        <v>681</v>
      </c>
      <c r="N150" s="44" t="s">
        <v>127</v>
      </c>
      <c r="O150" s="46">
        <v>4.6900000000000004</v>
      </c>
      <c r="P150" s="46">
        <f t="array" ref="P15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4.6900000000000004</v>
      </c>
      <c r="Q150" s="48" t="s">
        <v>312</v>
      </c>
      <c r="R150" s="46" t="s">
        <v>128</v>
      </c>
      <c r="S150" s="46" t="s">
        <v>38</v>
      </c>
      <c r="T150" s="48" t="s">
        <v>312</v>
      </c>
      <c r="U150" s="48" t="s">
        <v>312</v>
      </c>
      <c r="V150" s="44" t="s">
        <v>682</v>
      </c>
      <c r="W150" s="44" t="s">
        <v>40</v>
      </c>
      <c r="X150" s="44" t="s">
        <v>37</v>
      </c>
    </row>
    <row r="151" spans="1:24" hidden="1" x14ac:dyDescent="0.3">
      <c r="A151" s="44">
        <v>149</v>
      </c>
      <c r="B151" s="44" t="s">
        <v>683</v>
      </c>
      <c r="C151" s="49" t="s">
        <v>684</v>
      </c>
      <c r="D151" s="44" t="s">
        <v>119</v>
      </c>
      <c r="E151" s="44" t="s">
        <v>470</v>
      </c>
      <c r="F151" s="44" t="s">
        <v>121</v>
      </c>
      <c r="G151" s="44" t="s">
        <v>678</v>
      </c>
      <c r="H151" s="44" t="s">
        <v>679</v>
      </c>
      <c r="I151" s="44" t="s">
        <v>680</v>
      </c>
      <c r="J151" s="44" t="s">
        <v>143</v>
      </c>
      <c r="M151" s="44" t="s">
        <v>685</v>
      </c>
      <c r="N151" s="44" t="s">
        <v>127</v>
      </c>
      <c r="O151" s="46">
        <v>13.85</v>
      </c>
      <c r="P151" s="46">
        <f t="array" ref="P15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13.85</v>
      </c>
      <c r="Q151" s="48" t="s">
        <v>312</v>
      </c>
      <c r="R151" s="46" t="s">
        <v>128</v>
      </c>
      <c r="S151" s="46" t="s">
        <v>38</v>
      </c>
      <c r="T151" s="48" t="s">
        <v>312</v>
      </c>
      <c r="U151" s="48" t="s">
        <v>312</v>
      </c>
      <c r="V151" s="44" t="s">
        <v>686</v>
      </c>
      <c r="W151" s="44" t="s">
        <v>40</v>
      </c>
      <c r="X151" s="44" t="s">
        <v>37</v>
      </c>
    </row>
    <row r="152" spans="1:24" hidden="1" x14ac:dyDescent="0.3">
      <c r="A152" s="44">
        <v>150</v>
      </c>
      <c r="B152" s="44" t="s">
        <v>687</v>
      </c>
      <c r="C152" s="49" t="s">
        <v>688</v>
      </c>
      <c r="D152" s="44" t="s">
        <v>119</v>
      </c>
      <c r="E152" s="44" t="s">
        <v>470</v>
      </c>
      <c r="F152" s="44" t="s">
        <v>121</v>
      </c>
      <c r="G152" s="44" t="s">
        <v>678</v>
      </c>
      <c r="H152" s="44" t="s">
        <v>679</v>
      </c>
      <c r="I152" s="44" t="s">
        <v>689</v>
      </c>
      <c r="J152" s="44" t="s">
        <v>143</v>
      </c>
      <c r="M152" s="44" t="s">
        <v>690</v>
      </c>
      <c r="N152" s="44" t="s">
        <v>127</v>
      </c>
      <c r="O152" s="46">
        <v>16.79</v>
      </c>
      <c r="P152" s="46">
        <f t="array" ref="P15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16.79</v>
      </c>
      <c r="Q152" s="48" t="s">
        <v>312</v>
      </c>
      <c r="R152" s="46" t="s">
        <v>128</v>
      </c>
      <c r="S152" s="46" t="s">
        <v>38</v>
      </c>
      <c r="T152" s="48" t="s">
        <v>312</v>
      </c>
      <c r="U152" s="48" t="s">
        <v>312</v>
      </c>
      <c r="V152" s="44" t="s">
        <v>691</v>
      </c>
      <c r="W152" s="44" t="s">
        <v>40</v>
      </c>
      <c r="X152" s="44" t="s">
        <v>37</v>
      </c>
    </row>
    <row r="153" spans="1:24" hidden="1" x14ac:dyDescent="0.3">
      <c r="A153" s="44">
        <v>151</v>
      </c>
      <c r="B153" s="44" t="s">
        <v>692</v>
      </c>
      <c r="C153" s="49" t="s">
        <v>693</v>
      </c>
      <c r="D153" s="44" t="s">
        <v>119</v>
      </c>
      <c r="E153" s="44" t="s">
        <v>470</v>
      </c>
      <c r="F153" s="44" t="s">
        <v>121</v>
      </c>
      <c r="G153" s="44" t="s">
        <v>678</v>
      </c>
      <c r="H153" s="44" t="s">
        <v>679</v>
      </c>
      <c r="I153" s="44" t="s">
        <v>689</v>
      </c>
      <c r="J153" s="44" t="s">
        <v>143</v>
      </c>
      <c r="M153" s="44" t="s">
        <v>694</v>
      </c>
      <c r="N153" s="44" t="s">
        <v>127</v>
      </c>
      <c r="O153" s="46">
        <v>18.13</v>
      </c>
      <c r="P153" s="46">
        <f t="array" ref="P15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18.13</v>
      </c>
      <c r="Q153" s="48" t="s">
        <v>312</v>
      </c>
      <c r="R153" s="46" t="s">
        <v>128</v>
      </c>
      <c r="S153" s="46" t="s">
        <v>38</v>
      </c>
      <c r="T153" s="48" t="s">
        <v>312</v>
      </c>
      <c r="U153" s="48" t="s">
        <v>312</v>
      </c>
      <c r="V153" s="44" t="s">
        <v>695</v>
      </c>
      <c r="W153" s="44" t="s">
        <v>40</v>
      </c>
      <c r="X153" s="44" t="s">
        <v>37</v>
      </c>
    </row>
    <row r="154" spans="1:24" hidden="1" x14ac:dyDescent="0.3">
      <c r="A154" s="44">
        <v>152</v>
      </c>
      <c r="B154" s="44" t="s">
        <v>696</v>
      </c>
      <c r="C154" s="49" t="s">
        <v>697</v>
      </c>
      <c r="D154" s="44" t="s">
        <v>119</v>
      </c>
      <c r="E154" s="44" t="s">
        <v>470</v>
      </c>
      <c r="F154" s="44" t="s">
        <v>140</v>
      </c>
      <c r="G154" s="44" t="s">
        <v>698</v>
      </c>
      <c r="H154" s="44" t="s">
        <v>699</v>
      </c>
      <c r="I154" s="44" t="s">
        <v>700</v>
      </c>
      <c r="J154" s="44" t="s">
        <v>143</v>
      </c>
      <c r="L154" s="1" t="s">
        <v>632</v>
      </c>
      <c r="M154" s="44" t="s">
        <v>701</v>
      </c>
      <c r="N154" s="44" t="s">
        <v>127</v>
      </c>
      <c r="O154" s="46">
        <v>3.51</v>
      </c>
      <c r="P154" s="46">
        <f t="array" ref="P15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3.51</v>
      </c>
      <c r="Q154" s="48" t="s">
        <v>312</v>
      </c>
      <c r="R154" s="46" t="s">
        <v>702</v>
      </c>
      <c r="S154" s="46" t="s">
        <v>353</v>
      </c>
      <c r="T154" s="48" t="s">
        <v>312</v>
      </c>
      <c r="U154" s="48" t="s">
        <v>312</v>
      </c>
      <c r="V154" s="44" t="s">
        <v>703</v>
      </c>
      <c r="W154" s="44" t="s">
        <v>40</v>
      </c>
      <c r="X154" s="44" t="s">
        <v>37</v>
      </c>
    </row>
    <row r="155" spans="1:24" hidden="1" x14ac:dyDescent="0.3">
      <c r="A155" s="44">
        <v>153</v>
      </c>
      <c r="B155" s="44" t="s">
        <v>704</v>
      </c>
      <c r="C155" s="49" t="s">
        <v>705</v>
      </c>
      <c r="D155" s="44" t="s">
        <v>119</v>
      </c>
      <c r="E155" s="44" t="s">
        <v>470</v>
      </c>
      <c r="F155" s="44" t="s">
        <v>121</v>
      </c>
      <c r="G155" s="44" t="s">
        <v>706</v>
      </c>
      <c r="H155" s="44" t="s">
        <v>707</v>
      </c>
      <c r="I155" s="44" t="s">
        <v>708</v>
      </c>
      <c r="J155" s="44" t="s">
        <v>143</v>
      </c>
      <c r="K155" s="1" t="s">
        <v>709</v>
      </c>
      <c r="M155" s="44" t="s">
        <v>710</v>
      </c>
      <c r="N155" s="44" t="s">
        <v>127</v>
      </c>
      <c r="O155" s="46">
        <v>13.8</v>
      </c>
      <c r="P155" s="46">
        <f t="array" ref="P15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13.8</v>
      </c>
      <c r="Q155" s="48" t="s">
        <v>312</v>
      </c>
      <c r="R155" s="46" t="s">
        <v>702</v>
      </c>
      <c r="S155" s="46" t="s">
        <v>353</v>
      </c>
      <c r="T155" s="48" t="s">
        <v>312</v>
      </c>
      <c r="U155" s="48" t="s">
        <v>312</v>
      </c>
      <c r="V155" s="44" t="s">
        <v>711</v>
      </c>
      <c r="W155" s="44" t="s">
        <v>40</v>
      </c>
      <c r="X155" s="44" t="s">
        <v>37</v>
      </c>
    </row>
    <row r="156" spans="1:24" hidden="1" x14ac:dyDescent="0.3">
      <c r="A156" s="44">
        <v>154</v>
      </c>
      <c r="B156" s="44" t="s">
        <v>712</v>
      </c>
      <c r="C156" s="49" t="s">
        <v>713</v>
      </c>
      <c r="D156" s="44" t="s">
        <v>119</v>
      </c>
      <c r="E156" s="44" t="s">
        <v>470</v>
      </c>
      <c r="F156" s="44" t="s">
        <v>121</v>
      </c>
      <c r="G156" s="44" t="s">
        <v>714</v>
      </c>
      <c r="H156" s="44" t="s">
        <v>679</v>
      </c>
      <c r="I156" s="44" t="s">
        <v>715</v>
      </c>
      <c r="J156" s="44" t="s">
        <v>143</v>
      </c>
      <c r="K156" s="1" t="s">
        <v>716</v>
      </c>
      <c r="M156" s="44"/>
      <c r="N156" s="44" t="s">
        <v>127</v>
      </c>
      <c r="O156" s="46">
        <v>133</v>
      </c>
      <c r="P156" s="46">
        <f t="array" ref="P15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115.65217391304348</v>
      </c>
      <c r="Q156" s="48" t="s">
        <v>312</v>
      </c>
      <c r="R156" s="46" t="s">
        <v>397</v>
      </c>
      <c r="S156" s="46" t="s">
        <v>398</v>
      </c>
      <c r="T156" s="48" t="s">
        <v>312</v>
      </c>
      <c r="U156" s="48" t="s">
        <v>312</v>
      </c>
      <c r="V156" s="44" t="s">
        <v>717</v>
      </c>
      <c r="W156" s="44" t="s">
        <v>40</v>
      </c>
      <c r="X156" s="44" t="s">
        <v>37</v>
      </c>
    </row>
    <row r="157" spans="1:24" hidden="1" x14ac:dyDescent="0.3">
      <c r="A157" s="44">
        <v>155</v>
      </c>
      <c r="B157" s="44" t="s">
        <v>718</v>
      </c>
      <c r="C157" s="49" t="s">
        <v>719</v>
      </c>
      <c r="D157" s="44" t="s">
        <v>119</v>
      </c>
      <c r="E157" s="44" t="s">
        <v>720</v>
      </c>
      <c r="F157" s="44" t="s">
        <v>121</v>
      </c>
      <c r="G157" s="44" t="s">
        <v>721</v>
      </c>
      <c r="H157" s="44" t="s">
        <v>722</v>
      </c>
      <c r="I157" s="44" t="s">
        <v>723</v>
      </c>
      <c r="J157" s="44" t="s">
        <v>143</v>
      </c>
      <c r="K157" s="1" t="s">
        <v>724</v>
      </c>
      <c r="M157" s="44"/>
      <c r="N157" s="44" t="s">
        <v>127</v>
      </c>
      <c r="O157" s="46">
        <v>99.91</v>
      </c>
      <c r="P157" s="46">
        <v>99.91</v>
      </c>
      <c r="Q157" s="48" t="s">
        <v>725</v>
      </c>
      <c r="R157" s="46" t="s">
        <v>726</v>
      </c>
      <c r="S157" s="46" t="s">
        <v>38</v>
      </c>
      <c r="T157" s="48" t="s">
        <v>312</v>
      </c>
      <c r="U157" s="48" t="s">
        <v>727</v>
      </c>
      <c r="V157" s="44" t="s">
        <v>728</v>
      </c>
      <c r="W157" s="44" t="s">
        <v>40</v>
      </c>
      <c r="X157" s="44" t="s">
        <v>37</v>
      </c>
    </row>
    <row r="158" spans="1:24" hidden="1" x14ac:dyDescent="0.3">
      <c r="A158" s="44">
        <v>156</v>
      </c>
      <c r="B158" s="44" t="s">
        <v>729</v>
      </c>
      <c r="C158" s="49" t="s">
        <v>730</v>
      </c>
      <c r="D158" s="44" t="s">
        <v>119</v>
      </c>
      <c r="E158" s="44" t="s">
        <v>720</v>
      </c>
      <c r="F158" s="44" t="s">
        <v>121</v>
      </c>
      <c r="G158" s="44" t="s">
        <v>721</v>
      </c>
      <c r="H158" s="44" t="s">
        <v>722</v>
      </c>
      <c r="I158" s="44" t="s">
        <v>731</v>
      </c>
      <c r="J158" s="44" t="s">
        <v>143</v>
      </c>
      <c r="K158" s="1" t="s">
        <v>732</v>
      </c>
      <c r="L158" s="1" t="s">
        <v>632</v>
      </c>
      <c r="M158" s="44"/>
      <c r="N158" s="44" t="s">
        <v>127</v>
      </c>
      <c r="O158" s="46">
        <v>75.56</v>
      </c>
      <c r="P158" s="46">
        <v>75.56</v>
      </c>
      <c r="Q158" s="48" t="s">
        <v>725</v>
      </c>
      <c r="R158" s="46" t="s">
        <v>726</v>
      </c>
      <c r="S158" s="46" t="s">
        <v>38</v>
      </c>
      <c r="T158" s="48" t="s">
        <v>312</v>
      </c>
      <c r="U158" s="48" t="s">
        <v>727</v>
      </c>
      <c r="V158" s="44" t="s">
        <v>728</v>
      </c>
      <c r="W158" s="44" t="s">
        <v>40</v>
      </c>
      <c r="X158" s="44" t="s">
        <v>37</v>
      </c>
    </row>
    <row r="159" spans="1:24" hidden="1" x14ac:dyDescent="0.3">
      <c r="A159" s="44">
        <v>157</v>
      </c>
      <c r="B159" s="44" t="s">
        <v>733</v>
      </c>
      <c r="C159" s="49" t="s">
        <v>734</v>
      </c>
      <c r="D159" s="44" t="s">
        <v>119</v>
      </c>
      <c r="E159" s="44" t="s">
        <v>720</v>
      </c>
      <c r="F159" s="44" t="s">
        <v>392</v>
      </c>
      <c r="G159" s="44" t="s">
        <v>735</v>
      </c>
      <c r="H159" s="44" t="s">
        <v>722</v>
      </c>
      <c r="I159" s="44" t="s">
        <v>736</v>
      </c>
      <c r="J159" s="44" t="s">
        <v>143</v>
      </c>
      <c r="K159" s="1" t="s">
        <v>737</v>
      </c>
      <c r="M159" s="44"/>
      <c r="N159" s="44" t="s">
        <v>127</v>
      </c>
      <c r="O159" s="46">
        <v>1.3</v>
      </c>
      <c r="P159" s="46">
        <v>1.3</v>
      </c>
      <c r="Q159" s="48" t="s">
        <v>725</v>
      </c>
      <c r="R159" s="46" t="s">
        <v>726</v>
      </c>
      <c r="S159" s="46" t="s">
        <v>38</v>
      </c>
      <c r="T159" s="48" t="s">
        <v>312</v>
      </c>
      <c r="U159" s="48" t="s">
        <v>727</v>
      </c>
      <c r="V159" s="44" t="s">
        <v>728</v>
      </c>
      <c r="W159" s="44" t="s">
        <v>40</v>
      </c>
      <c r="X159" s="44" t="s">
        <v>37</v>
      </c>
    </row>
    <row r="160" spans="1:24" hidden="1" x14ac:dyDescent="0.3">
      <c r="A160" s="44">
        <v>158</v>
      </c>
      <c r="B160" s="44" t="s">
        <v>738</v>
      </c>
      <c r="C160" s="49" t="s">
        <v>739</v>
      </c>
      <c r="D160" s="44" t="s">
        <v>119</v>
      </c>
      <c r="E160" s="44" t="s">
        <v>720</v>
      </c>
      <c r="F160" s="44" t="s">
        <v>140</v>
      </c>
      <c r="G160" s="44" t="s">
        <v>740</v>
      </c>
      <c r="H160" s="44" t="s">
        <v>722</v>
      </c>
      <c r="I160" s="44" t="s">
        <v>741</v>
      </c>
      <c r="J160" s="44" t="s">
        <v>143</v>
      </c>
      <c r="K160" s="1" t="s">
        <v>742</v>
      </c>
      <c r="M160" s="44"/>
      <c r="N160" s="44" t="s">
        <v>127</v>
      </c>
      <c r="O160" s="46">
        <v>6.99</v>
      </c>
      <c r="P160" s="46">
        <v>6.99</v>
      </c>
      <c r="Q160" s="48" t="s">
        <v>725</v>
      </c>
      <c r="R160" s="46" t="s">
        <v>726</v>
      </c>
      <c r="S160" s="46" t="s">
        <v>38</v>
      </c>
      <c r="T160" s="48" t="s">
        <v>312</v>
      </c>
      <c r="U160" s="48" t="s">
        <v>727</v>
      </c>
      <c r="V160" s="44" t="s">
        <v>728</v>
      </c>
      <c r="W160" s="44" t="s">
        <v>40</v>
      </c>
      <c r="X160" s="44" t="s">
        <v>37</v>
      </c>
    </row>
    <row r="161" spans="1:24" hidden="1" x14ac:dyDescent="0.3">
      <c r="A161" s="44">
        <v>159</v>
      </c>
      <c r="B161" s="44" t="s">
        <v>743</v>
      </c>
      <c r="C161" s="49" t="s">
        <v>744</v>
      </c>
      <c r="D161" s="44" t="s">
        <v>119</v>
      </c>
      <c r="E161" s="44" t="s">
        <v>720</v>
      </c>
      <c r="F161" s="44" t="s">
        <v>121</v>
      </c>
      <c r="G161" s="44" t="s">
        <v>745</v>
      </c>
      <c r="H161" s="44" t="s">
        <v>722</v>
      </c>
      <c r="I161" s="44" t="s">
        <v>746</v>
      </c>
      <c r="J161" s="44" t="s">
        <v>143</v>
      </c>
      <c r="K161" s="1" t="s">
        <v>747</v>
      </c>
      <c r="M161" s="44"/>
      <c r="N161" s="44" t="s">
        <v>127</v>
      </c>
      <c r="O161" s="46">
        <v>106.27</v>
      </c>
      <c r="P161" s="46">
        <v>106.27</v>
      </c>
      <c r="Q161" s="48" t="s">
        <v>725</v>
      </c>
      <c r="R161" s="46" t="s">
        <v>726</v>
      </c>
      <c r="S161" s="46" t="s">
        <v>38</v>
      </c>
      <c r="T161" s="48" t="s">
        <v>312</v>
      </c>
      <c r="U161" s="48" t="s">
        <v>727</v>
      </c>
      <c r="V161" s="44" t="s">
        <v>728</v>
      </c>
      <c r="W161" s="44" t="s">
        <v>40</v>
      </c>
      <c r="X161" s="44" t="s">
        <v>37</v>
      </c>
    </row>
    <row r="162" spans="1:24" hidden="1" x14ac:dyDescent="0.3">
      <c r="A162" s="44">
        <v>160</v>
      </c>
      <c r="B162" s="44" t="s">
        <v>748</v>
      </c>
      <c r="C162" s="49" t="s">
        <v>749</v>
      </c>
      <c r="D162" s="44" t="s">
        <v>119</v>
      </c>
      <c r="E162" s="44" t="s">
        <v>720</v>
      </c>
      <c r="F162" s="44" t="s">
        <v>121</v>
      </c>
      <c r="G162" s="44" t="s">
        <v>750</v>
      </c>
      <c r="H162" s="44" t="s">
        <v>751</v>
      </c>
      <c r="I162" s="44" t="s">
        <v>752</v>
      </c>
      <c r="J162" s="44" t="s">
        <v>143</v>
      </c>
      <c r="K162" s="1" t="s">
        <v>753</v>
      </c>
      <c r="M162" s="44"/>
      <c r="N162" s="44" t="s">
        <v>127</v>
      </c>
      <c r="O162" s="46">
        <v>33.01</v>
      </c>
      <c r="P162" s="46">
        <v>33.01</v>
      </c>
      <c r="Q162" s="48" t="s">
        <v>725</v>
      </c>
      <c r="R162" s="46" t="s">
        <v>726</v>
      </c>
      <c r="S162" s="46" t="s">
        <v>38</v>
      </c>
      <c r="T162" s="48" t="s">
        <v>312</v>
      </c>
      <c r="U162" s="48" t="s">
        <v>727</v>
      </c>
      <c r="V162" s="44" t="s">
        <v>728</v>
      </c>
      <c r="W162" s="44" t="s">
        <v>40</v>
      </c>
      <c r="X162" s="44" t="s">
        <v>37</v>
      </c>
    </row>
    <row r="163" spans="1:24" hidden="1" x14ac:dyDescent="0.3">
      <c r="A163" s="44">
        <v>161</v>
      </c>
      <c r="B163" s="44" t="s">
        <v>754</v>
      </c>
      <c r="C163" s="49" t="s">
        <v>755</v>
      </c>
      <c r="D163" s="44" t="s">
        <v>119</v>
      </c>
      <c r="E163" s="44" t="s">
        <v>720</v>
      </c>
      <c r="F163" s="44" t="s">
        <v>121</v>
      </c>
      <c r="G163" s="44" t="s">
        <v>745</v>
      </c>
      <c r="H163" s="44" t="s">
        <v>722</v>
      </c>
      <c r="I163" s="44" t="s">
        <v>756</v>
      </c>
      <c r="J163" s="44" t="s">
        <v>143</v>
      </c>
      <c r="K163" s="1" t="s">
        <v>757</v>
      </c>
      <c r="L163" s="1" t="s">
        <v>632</v>
      </c>
      <c r="M163" s="44"/>
      <c r="N163" s="44" t="s">
        <v>127</v>
      </c>
      <c r="O163" s="46">
        <v>20.309999999999999</v>
      </c>
      <c r="P163" s="46">
        <v>20.309999999999999</v>
      </c>
      <c r="Q163" s="48" t="s">
        <v>725</v>
      </c>
      <c r="R163" s="46" t="s">
        <v>726</v>
      </c>
      <c r="S163" s="46" t="s">
        <v>38</v>
      </c>
      <c r="T163" s="48" t="s">
        <v>312</v>
      </c>
      <c r="U163" s="48" t="s">
        <v>727</v>
      </c>
      <c r="V163" s="44" t="s">
        <v>728</v>
      </c>
      <c r="W163" s="44" t="s">
        <v>40</v>
      </c>
      <c r="X163" s="44" t="s">
        <v>37</v>
      </c>
    </row>
    <row r="164" spans="1:24" hidden="1" x14ac:dyDescent="0.3">
      <c r="A164" s="44">
        <v>162</v>
      </c>
      <c r="B164" s="44" t="s">
        <v>758</v>
      </c>
      <c r="C164" s="49" t="s">
        <v>759</v>
      </c>
      <c r="D164" s="44" t="s">
        <v>119</v>
      </c>
      <c r="E164" s="44" t="s">
        <v>720</v>
      </c>
      <c r="F164" s="44" t="s">
        <v>140</v>
      </c>
      <c r="G164" s="44" t="s">
        <v>760</v>
      </c>
      <c r="H164" s="44" t="s">
        <v>722</v>
      </c>
      <c r="I164" s="44" t="s">
        <v>761</v>
      </c>
      <c r="J164" s="44" t="s">
        <v>143</v>
      </c>
      <c r="K164" s="1" t="s">
        <v>483</v>
      </c>
      <c r="M164" s="44"/>
      <c r="N164" s="44" t="s">
        <v>127</v>
      </c>
      <c r="O164" s="46">
        <v>3.73</v>
      </c>
      <c r="P164" s="46">
        <v>3.73</v>
      </c>
      <c r="Q164" s="48" t="s">
        <v>725</v>
      </c>
      <c r="R164" s="46" t="s">
        <v>726</v>
      </c>
      <c r="S164" s="46" t="s">
        <v>38</v>
      </c>
      <c r="T164" s="48" t="s">
        <v>312</v>
      </c>
      <c r="U164" s="48" t="s">
        <v>727</v>
      </c>
      <c r="V164" s="44" t="s">
        <v>728</v>
      </c>
      <c r="W164" s="44" t="s">
        <v>40</v>
      </c>
      <c r="X164" s="44" t="s">
        <v>37</v>
      </c>
    </row>
    <row r="165" spans="1:24" hidden="1" x14ac:dyDescent="0.3">
      <c r="A165" s="44">
        <v>163</v>
      </c>
      <c r="B165" s="44" t="s">
        <v>762</v>
      </c>
      <c r="C165" s="49" t="s">
        <v>763</v>
      </c>
      <c r="D165" s="44" t="s">
        <v>119</v>
      </c>
      <c r="E165" s="44" t="s">
        <v>720</v>
      </c>
      <c r="F165" s="44" t="s">
        <v>140</v>
      </c>
      <c r="G165" s="44" t="s">
        <v>740</v>
      </c>
      <c r="H165" s="44" t="s">
        <v>722</v>
      </c>
      <c r="I165" s="44" t="s">
        <v>764</v>
      </c>
      <c r="J165" s="44" t="s">
        <v>143</v>
      </c>
      <c r="K165" s="1" t="s">
        <v>765</v>
      </c>
      <c r="M165" s="44"/>
      <c r="N165" s="44" t="s">
        <v>127</v>
      </c>
      <c r="O165" s="46">
        <v>7.56</v>
      </c>
      <c r="P165" s="46">
        <v>7.56</v>
      </c>
      <c r="Q165" s="48" t="s">
        <v>725</v>
      </c>
      <c r="R165" s="46" t="s">
        <v>726</v>
      </c>
      <c r="S165" s="46" t="s">
        <v>38</v>
      </c>
      <c r="T165" s="48" t="s">
        <v>312</v>
      </c>
      <c r="U165" s="48" t="s">
        <v>727</v>
      </c>
      <c r="V165" s="44" t="s">
        <v>728</v>
      </c>
      <c r="W165" s="44" t="s">
        <v>40</v>
      </c>
      <c r="X165" s="44" t="s">
        <v>37</v>
      </c>
    </row>
    <row r="166" spans="1:24" hidden="1" x14ac:dyDescent="0.3">
      <c r="A166" s="44">
        <v>164</v>
      </c>
      <c r="B166" s="44" t="s">
        <v>766</v>
      </c>
      <c r="C166" s="49" t="s">
        <v>767</v>
      </c>
      <c r="D166" s="44" t="s">
        <v>119</v>
      </c>
      <c r="E166" s="44" t="s">
        <v>720</v>
      </c>
      <c r="F166" s="44" t="s">
        <v>121</v>
      </c>
      <c r="G166" s="44" t="s">
        <v>768</v>
      </c>
      <c r="H166" s="44" t="s">
        <v>722</v>
      </c>
      <c r="I166" s="44" t="s">
        <v>769</v>
      </c>
      <c r="J166" s="44" t="s">
        <v>143</v>
      </c>
      <c r="K166" s="1" t="s">
        <v>770</v>
      </c>
      <c r="M166" s="44"/>
      <c r="N166" s="44" t="s">
        <v>127</v>
      </c>
      <c r="O166" s="46">
        <v>18.72</v>
      </c>
      <c r="P166" s="46">
        <v>18.72</v>
      </c>
      <c r="Q166" s="48" t="s">
        <v>725</v>
      </c>
      <c r="R166" s="46" t="s">
        <v>726</v>
      </c>
      <c r="S166" s="46" t="s">
        <v>38</v>
      </c>
      <c r="T166" s="48" t="s">
        <v>312</v>
      </c>
      <c r="U166" s="48" t="s">
        <v>727</v>
      </c>
      <c r="V166" s="44" t="s">
        <v>728</v>
      </c>
      <c r="W166" s="44" t="s">
        <v>40</v>
      </c>
      <c r="X166" s="44" t="s">
        <v>37</v>
      </c>
    </row>
    <row r="167" spans="1:24" hidden="1" x14ac:dyDescent="0.3">
      <c r="A167" s="44">
        <v>165</v>
      </c>
      <c r="B167" s="44" t="s">
        <v>771</v>
      </c>
      <c r="C167" s="49" t="s">
        <v>772</v>
      </c>
      <c r="D167" s="44" t="s">
        <v>119</v>
      </c>
      <c r="E167" s="44" t="s">
        <v>720</v>
      </c>
      <c r="F167" s="44" t="s">
        <v>121</v>
      </c>
      <c r="G167" s="44" t="s">
        <v>773</v>
      </c>
      <c r="H167" s="44" t="s">
        <v>722</v>
      </c>
      <c r="I167" s="44" t="s">
        <v>774</v>
      </c>
      <c r="J167" s="44" t="s">
        <v>143</v>
      </c>
      <c r="K167" s="1" t="s">
        <v>775</v>
      </c>
      <c r="M167" s="44"/>
      <c r="N167" s="44" t="s">
        <v>127</v>
      </c>
      <c r="O167" s="46">
        <v>9.4600000000000009</v>
      </c>
      <c r="P167" s="46">
        <v>9.4600000000000009</v>
      </c>
      <c r="Q167" s="48" t="s">
        <v>725</v>
      </c>
      <c r="R167" s="46" t="s">
        <v>726</v>
      </c>
      <c r="S167" s="46" t="s">
        <v>38</v>
      </c>
      <c r="T167" s="48" t="s">
        <v>312</v>
      </c>
      <c r="U167" s="48" t="s">
        <v>727</v>
      </c>
      <c r="V167" s="44" t="s">
        <v>728</v>
      </c>
      <c r="W167" s="44" t="s">
        <v>40</v>
      </c>
      <c r="X167" s="44" t="s">
        <v>37</v>
      </c>
    </row>
    <row r="168" spans="1:24" hidden="1" x14ac:dyDescent="0.3">
      <c r="A168" s="44">
        <v>166</v>
      </c>
      <c r="B168" s="44" t="s">
        <v>776</v>
      </c>
      <c r="C168" s="49" t="s">
        <v>777</v>
      </c>
      <c r="D168" s="44" t="s">
        <v>119</v>
      </c>
      <c r="E168" s="44" t="s">
        <v>720</v>
      </c>
      <c r="F168" s="44" t="s">
        <v>121</v>
      </c>
      <c r="G168" s="44" t="s">
        <v>750</v>
      </c>
      <c r="H168" s="44" t="s">
        <v>751</v>
      </c>
      <c r="I168" s="44" t="s">
        <v>778</v>
      </c>
      <c r="J168" s="44" t="s">
        <v>143</v>
      </c>
      <c r="K168" s="1" t="s">
        <v>779</v>
      </c>
      <c r="M168" s="44"/>
      <c r="N168" s="44" t="s">
        <v>127</v>
      </c>
      <c r="O168" s="46">
        <v>32.81</v>
      </c>
      <c r="P168" s="46">
        <v>32.81</v>
      </c>
      <c r="Q168" s="48" t="s">
        <v>725</v>
      </c>
      <c r="R168" s="46" t="s">
        <v>726</v>
      </c>
      <c r="S168" s="46" t="s">
        <v>38</v>
      </c>
      <c r="T168" s="48" t="s">
        <v>312</v>
      </c>
      <c r="U168" s="48" t="s">
        <v>727</v>
      </c>
      <c r="V168" s="44" t="s">
        <v>728</v>
      </c>
      <c r="W168" s="44" t="s">
        <v>40</v>
      </c>
      <c r="X168" s="44" t="s">
        <v>37</v>
      </c>
    </row>
    <row r="169" spans="1:24" hidden="1" x14ac:dyDescent="0.3">
      <c r="A169" s="44">
        <v>167</v>
      </c>
      <c r="B169" s="44" t="s">
        <v>780</v>
      </c>
      <c r="C169" s="49" t="s">
        <v>781</v>
      </c>
      <c r="D169" s="44" t="s">
        <v>119</v>
      </c>
      <c r="E169" s="44" t="s">
        <v>720</v>
      </c>
      <c r="F169" s="44" t="s">
        <v>140</v>
      </c>
      <c r="G169" s="44" t="s">
        <v>782</v>
      </c>
      <c r="H169" s="44" t="s">
        <v>722</v>
      </c>
      <c r="I169" s="44" t="s">
        <v>783</v>
      </c>
      <c r="J169" s="44" t="s">
        <v>143</v>
      </c>
      <c r="K169" s="1" t="s">
        <v>784</v>
      </c>
      <c r="M169" s="44"/>
      <c r="N169" s="44" t="s">
        <v>127</v>
      </c>
      <c r="O169" s="46">
        <v>10.86</v>
      </c>
      <c r="P169" s="46">
        <v>10.86</v>
      </c>
      <c r="Q169" s="48" t="s">
        <v>725</v>
      </c>
      <c r="R169" s="46" t="s">
        <v>726</v>
      </c>
      <c r="S169" s="46" t="s">
        <v>38</v>
      </c>
      <c r="T169" s="48" t="s">
        <v>312</v>
      </c>
      <c r="U169" s="48" t="s">
        <v>727</v>
      </c>
      <c r="V169" s="44" t="s">
        <v>728</v>
      </c>
      <c r="W169" s="44" t="s">
        <v>40</v>
      </c>
      <c r="X169" s="44" t="s">
        <v>37</v>
      </c>
    </row>
    <row r="170" spans="1:24" hidden="1" x14ac:dyDescent="0.3">
      <c r="A170" s="44">
        <v>168</v>
      </c>
      <c r="B170" s="44" t="s">
        <v>785</v>
      </c>
      <c r="C170" s="49" t="s">
        <v>786</v>
      </c>
      <c r="D170" s="44" t="s">
        <v>119</v>
      </c>
      <c r="E170" s="44" t="s">
        <v>720</v>
      </c>
      <c r="F170" s="44" t="s">
        <v>140</v>
      </c>
      <c r="G170" s="44" t="s">
        <v>782</v>
      </c>
      <c r="H170" s="44" t="s">
        <v>722</v>
      </c>
      <c r="I170" s="44" t="s">
        <v>787</v>
      </c>
      <c r="J170" s="44" t="s">
        <v>143</v>
      </c>
      <c r="K170" s="1" t="s">
        <v>788</v>
      </c>
      <c r="M170" s="44"/>
      <c r="N170" s="44" t="s">
        <v>127</v>
      </c>
      <c r="O170" s="46">
        <v>3.75</v>
      </c>
      <c r="P170" s="46">
        <v>3.75</v>
      </c>
      <c r="Q170" s="48" t="s">
        <v>725</v>
      </c>
      <c r="R170" s="46" t="s">
        <v>726</v>
      </c>
      <c r="S170" s="46" t="s">
        <v>38</v>
      </c>
      <c r="T170" s="48" t="s">
        <v>312</v>
      </c>
      <c r="U170" s="48" t="s">
        <v>727</v>
      </c>
      <c r="V170" s="44" t="s">
        <v>728</v>
      </c>
      <c r="W170" s="44" t="s">
        <v>40</v>
      </c>
      <c r="X170" s="44" t="s">
        <v>37</v>
      </c>
    </row>
    <row r="171" spans="1:24" hidden="1" x14ac:dyDescent="0.3">
      <c r="A171" s="44">
        <v>169</v>
      </c>
      <c r="B171" s="44" t="s">
        <v>789</v>
      </c>
      <c r="C171" s="49" t="s">
        <v>790</v>
      </c>
      <c r="D171" s="44" t="s">
        <v>119</v>
      </c>
      <c r="E171" s="44" t="s">
        <v>720</v>
      </c>
      <c r="F171" s="44" t="s">
        <v>121</v>
      </c>
      <c r="G171" s="44" t="s">
        <v>791</v>
      </c>
      <c r="H171" s="44" t="s">
        <v>722</v>
      </c>
      <c r="I171" s="44" t="s">
        <v>792</v>
      </c>
      <c r="J171" s="44" t="s">
        <v>143</v>
      </c>
      <c r="K171" s="1" t="s">
        <v>793</v>
      </c>
      <c r="M171" s="44"/>
      <c r="N171" s="44" t="s">
        <v>127</v>
      </c>
      <c r="O171" s="46">
        <v>72.709999999999994</v>
      </c>
      <c r="P171" s="46">
        <v>72.709999999999994</v>
      </c>
      <c r="Q171" s="48" t="s">
        <v>725</v>
      </c>
      <c r="R171" s="46" t="s">
        <v>726</v>
      </c>
      <c r="S171" s="46" t="s">
        <v>38</v>
      </c>
      <c r="T171" s="48" t="s">
        <v>312</v>
      </c>
      <c r="U171" s="48" t="s">
        <v>727</v>
      </c>
      <c r="V171" s="44" t="s">
        <v>728</v>
      </c>
      <c r="W171" s="44" t="s">
        <v>40</v>
      </c>
      <c r="X171" s="44" t="s">
        <v>37</v>
      </c>
    </row>
    <row r="172" spans="1:24" hidden="1" x14ac:dyDescent="0.3">
      <c r="A172" s="44">
        <v>170</v>
      </c>
      <c r="B172" s="44" t="s">
        <v>794</v>
      </c>
      <c r="C172" s="49" t="s">
        <v>795</v>
      </c>
      <c r="D172" s="44" t="s">
        <v>119</v>
      </c>
      <c r="E172" s="44" t="s">
        <v>720</v>
      </c>
      <c r="F172" s="44" t="s">
        <v>121</v>
      </c>
      <c r="G172" s="44" t="s">
        <v>750</v>
      </c>
      <c r="H172" s="44" t="s">
        <v>722</v>
      </c>
      <c r="I172" s="44" t="s">
        <v>796</v>
      </c>
      <c r="J172" s="44" t="s">
        <v>143</v>
      </c>
      <c r="K172" s="1" t="s">
        <v>797</v>
      </c>
      <c r="M172" s="44"/>
      <c r="N172" s="44" t="s">
        <v>127</v>
      </c>
      <c r="O172" s="46">
        <v>54.55</v>
      </c>
      <c r="P172" s="46">
        <v>54.55</v>
      </c>
      <c r="Q172" s="48" t="s">
        <v>725</v>
      </c>
      <c r="R172" s="46" t="s">
        <v>726</v>
      </c>
      <c r="S172" s="46" t="s">
        <v>38</v>
      </c>
      <c r="T172" s="48" t="s">
        <v>312</v>
      </c>
      <c r="U172" s="48" t="s">
        <v>727</v>
      </c>
      <c r="V172" s="44" t="s">
        <v>728</v>
      </c>
      <c r="W172" s="44" t="s">
        <v>40</v>
      </c>
      <c r="X172" s="44" t="s">
        <v>37</v>
      </c>
    </row>
    <row r="173" spans="1:24" hidden="1" x14ac:dyDescent="0.3">
      <c r="A173" s="44">
        <v>171</v>
      </c>
      <c r="B173" s="44" t="s">
        <v>798</v>
      </c>
      <c r="C173" s="49" t="s">
        <v>799</v>
      </c>
      <c r="D173" s="44" t="s">
        <v>119</v>
      </c>
      <c r="E173" s="44" t="s">
        <v>720</v>
      </c>
      <c r="F173" s="44" t="s">
        <v>140</v>
      </c>
      <c r="G173" s="44" t="s">
        <v>740</v>
      </c>
      <c r="H173" s="44" t="s">
        <v>722</v>
      </c>
      <c r="I173" s="44" t="s">
        <v>800</v>
      </c>
      <c r="J173" s="44" t="s">
        <v>143</v>
      </c>
      <c r="K173" s="1" t="s">
        <v>801</v>
      </c>
      <c r="M173" s="44"/>
      <c r="N173" s="44" t="s">
        <v>127</v>
      </c>
      <c r="O173" s="46">
        <v>5.19</v>
      </c>
      <c r="P173" s="46">
        <v>5.19</v>
      </c>
      <c r="Q173" s="48" t="s">
        <v>725</v>
      </c>
      <c r="R173" s="46" t="s">
        <v>726</v>
      </c>
      <c r="S173" s="46" t="s">
        <v>38</v>
      </c>
      <c r="T173" s="48" t="s">
        <v>312</v>
      </c>
      <c r="U173" s="48" t="s">
        <v>727</v>
      </c>
      <c r="V173" s="44" t="s">
        <v>728</v>
      </c>
      <c r="W173" s="44" t="s">
        <v>40</v>
      </c>
      <c r="X173" s="44" t="s">
        <v>37</v>
      </c>
    </row>
    <row r="174" spans="1:24" hidden="1" x14ac:dyDescent="0.3">
      <c r="A174" s="44">
        <v>172</v>
      </c>
      <c r="B174" s="44" t="s">
        <v>802</v>
      </c>
      <c r="C174" s="49" t="s">
        <v>803</v>
      </c>
      <c r="D174" s="44" t="s">
        <v>119</v>
      </c>
      <c r="E174" s="44" t="s">
        <v>720</v>
      </c>
      <c r="F174" s="44" t="s">
        <v>121</v>
      </c>
      <c r="G174" s="44" t="s">
        <v>791</v>
      </c>
      <c r="H174" s="44" t="s">
        <v>722</v>
      </c>
      <c r="I174" s="44" t="s">
        <v>804</v>
      </c>
      <c r="J174" s="44" t="s">
        <v>143</v>
      </c>
      <c r="K174" s="1" t="s">
        <v>805</v>
      </c>
      <c r="M174" s="44"/>
      <c r="N174" s="44" t="s">
        <v>127</v>
      </c>
      <c r="O174" s="46">
        <v>72.349999999999994</v>
      </c>
      <c r="P174" s="46">
        <v>72.349999999999994</v>
      </c>
      <c r="Q174" s="48" t="s">
        <v>725</v>
      </c>
      <c r="R174" s="46" t="s">
        <v>726</v>
      </c>
      <c r="S174" s="46" t="s">
        <v>38</v>
      </c>
      <c r="T174" s="48" t="s">
        <v>312</v>
      </c>
      <c r="U174" s="48" t="s">
        <v>727</v>
      </c>
      <c r="V174" s="44" t="s">
        <v>728</v>
      </c>
      <c r="W174" s="44" t="s">
        <v>40</v>
      </c>
      <c r="X174" s="44" t="s">
        <v>37</v>
      </c>
    </row>
    <row r="175" spans="1:24" hidden="1" x14ac:dyDescent="0.3">
      <c r="A175" s="44">
        <v>173</v>
      </c>
      <c r="B175" s="44" t="s">
        <v>806</v>
      </c>
      <c r="C175" s="49" t="s">
        <v>807</v>
      </c>
      <c r="D175" s="44" t="s">
        <v>119</v>
      </c>
      <c r="E175" s="44" t="s">
        <v>720</v>
      </c>
      <c r="F175" s="44" t="s">
        <v>140</v>
      </c>
      <c r="G175" s="44" t="s">
        <v>760</v>
      </c>
      <c r="H175" s="44" t="s">
        <v>722</v>
      </c>
      <c r="I175" s="44" t="s">
        <v>808</v>
      </c>
      <c r="J175" s="44" t="s">
        <v>143</v>
      </c>
      <c r="K175" s="1" t="s">
        <v>809</v>
      </c>
      <c r="M175" s="44"/>
      <c r="N175" s="44" t="s">
        <v>127</v>
      </c>
      <c r="O175" s="46">
        <v>4.88</v>
      </c>
      <c r="P175" s="46">
        <v>4.88</v>
      </c>
      <c r="Q175" s="48" t="s">
        <v>725</v>
      </c>
      <c r="R175" s="46" t="s">
        <v>726</v>
      </c>
      <c r="S175" s="46" t="s">
        <v>38</v>
      </c>
      <c r="T175" s="48" t="s">
        <v>312</v>
      </c>
      <c r="U175" s="48" t="s">
        <v>727</v>
      </c>
      <c r="V175" s="44" t="s">
        <v>728</v>
      </c>
      <c r="W175" s="44" t="s">
        <v>40</v>
      </c>
      <c r="X175" s="44" t="s">
        <v>37</v>
      </c>
    </row>
    <row r="176" spans="1:24" hidden="1" x14ac:dyDescent="0.3">
      <c r="A176" s="44">
        <v>174</v>
      </c>
      <c r="B176" s="44" t="s">
        <v>810</v>
      </c>
      <c r="C176" s="49" t="s">
        <v>811</v>
      </c>
      <c r="D176" s="44" t="s">
        <v>119</v>
      </c>
      <c r="E176" s="44" t="s">
        <v>720</v>
      </c>
      <c r="F176" s="44" t="s">
        <v>121</v>
      </c>
      <c r="G176" s="44" t="s">
        <v>740</v>
      </c>
      <c r="H176" s="44" t="s">
        <v>722</v>
      </c>
      <c r="I176" s="44" t="s">
        <v>812</v>
      </c>
      <c r="J176" s="44" t="s">
        <v>143</v>
      </c>
      <c r="K176" s="1" t="s">
        <v>396</v>
      </c>
      <c r="M176" s="44"/>
      <c r="N176" s="44" t="s">
        <v>127</v>
      </c>
      <c r="O176" s="46">
        <v>5.61</v>
      </c>
      <c r="P176" s="46">
        <v>5.61</v>
      </c>
      <c r="Q176" s="48" t="s">
        <v>725</v>
      </c>
      <c r="R176" s="46" t="s">
        <v>726</v>
      </c>
      <c r="S176" s="46" t="s">
        <v>38</v>
      </c>
      <c r="T176" s="48" t="s">
        <v>312</v>
      </c>
      <c r="U176" s="48" t="s">
        <v>727</v>
      </c>
      <c r="V176" s="44" t="s">
        <v>728</v>
      </c>
      <c r="W176" s="44" t="s">
        <v>40</v>
      </c>
      <c r="X176" s="44" t="s">
        <v>37</v>
      </c>
    </row>
    <row r="177" spans="1:24" hidden="1" x14ac:dyDescent="0.3">
      <c r="A177" s="44">
        <v>175</v>
      </c>
      <c r="B177" s="44" t="s">
        <v>813</v>
      </c>
      <c r="C177" s="49" t="s">
        <v>814</v>
      </c>
      <c r="D177" s="44" t="s">
        <v>119</v>
      </c>
      <c r="E177" s="44" t="s">
        <v>815</v>
      </c>
      <c r="F177" s="44" t="s">
        <v>121</v>
      </c>
      <c r="G177" s="44" t="s">
        <v>816</v>
      </c>
      <c r="H177" s="44" t="s">
        <v>817</v>
      </c>
      <c r="I177" s="44" t="s">
        <v>818</v>
      </c>
      <c r="J177" s="44" t="s">
        <v>819</v>
      </c>
      <c r="K177" s="1" t="s">
        <v>820</v>
      </c>
      <c r="L177" s="1" t="s">
        <v>821</v>
      </c>
      <c r="M177" s="44"/>
      <c r="N177" s="44" t="s">
        <v>819</v>
      </c>
      <c r="O177" s="46">
        <v>10.99</v>
      </c>
      <c r="P177" s="46">
        <f t="array" ref="P17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10.99</v>
      </c>
      <c r="Q177" s="48" t="s">
        <v>822</v>
      </c>
      <c r="R177" s="46" t="s">
        <v>823</v>
      </c>
      <c r="S177" s="46" t="s">
        <v>38</v>
      </c>
      <c r="T177" s="48" t="s">
        <v>312</v>
      </c>
      <c r="U177" s="48" t="s">
        <v>312</v>
      </c>
      <c r="V177" s="44" t="s">
        <v>824</v>
      </c>
      <c r="W177" s="44" t="s">
        <v>40</v>
      </c>
      <c r="X177" s="44" t="s">
        <v>37</v>
      </c>
    </row>
    <row r="178" spans="1:24" hidden="1" x14ac:dyDescent="0.3">
      <c r="A178" s="44">
        <v>176</v>
      </c>
      <c r="B178" s="44" t="s">
        <v>825</v>
      </c>
      <c r="C178" s="49" t="s">
        <v>826</v>
      </c>
      <c r="D178" s="44" t="s">
        <v>119</v>
      </c>
      <c r="E178" s="44" t="s">
        <v>815</v>
      </c>
      <c r="F178" s="44" t="s">
        <v>121</v>
      </c>
      <c r="G178" s="44" t="s">
        <v>816</v>
      </c>
      <c r="H178" s="44" t="s">
        <v>827</v>
      </c>
      <c r="I178" s="44" t="s">
        <v>828</v>
      </c>
      <c r="J178" s="44" t="s">
        <v>819</v>
      </c>
      <c r="K178" s="1" t="s">
        <v>829</v>
      </c>
      <c r="L178" s="1" t="s">
        <v>632</v>
      </c>
      <c r="M178" s="44"/>
      <c r="N178" s="44" t="s">
        <v>819</v>
      </c>
      <c r="O178" s="46">
        <v>10.59</v>
      </c>
      <c r="P178" s="46">
        <f t="array" ref="P17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10.59</v>
      </c>
      <c r="Q178" s="48" t="s">
        <v>822</v>
      </c>
      <c r="R178" s="46" t="s">
        <v>823</v>
      </c>
      <c r="S178" s="46" t="s">
        <v>38</v>
      </c>
      <c r="T178" s="48" t="s">
        <v>312</v>
      </c>
      <c r="U178" s="48" t="s">
        <v>312</v>
      </c>
      <c r="V178" s="44" t="s">
        <v>824</v>
      </c>
      <c r="W178" s="44" t="s">
        <v>40</v>
      </c>
      <c r="X178" s="44" t="s">
        <v>37</v>
      </c>
    </row>
    <row r="179" spans="1:24" hidden="1" x14ac:dyDescent="0.3">
      <c r="A179" s="44">
        <v>177</v>
      </c>
      <c r="B179" s="44" t="s">
        <v>830</v>
      </c>
      <c r="C179" s="49" t="s">
        <v>831</v>
      </c>
      <c r="D179" s="44" t="s">
        <v>119</v>
      </c>
      <c r="E179" s="44" t="s">
        <v>815</v>
      </c>
      <c r="F179" s="44" t="s">
        <v>121</v>
      </c>
      <c r="G179" s="44" t="s">
        <v>832</v>
      </c>
      <c r="H179" s="44"/>
      <c r="I179" s="44" t="s">
        <v>833</v>
      </c>
      <c r="J179" s="44" t="s">
        <v>819</v>
      </c>
      <c r="K179" s="1" t="s">
        <v>834</v>
      </c>
      <c r="L179" s="1" t="s">
        <v>531</v>
      </c>
      <c r="M179" s="44"/>
      <c r="N179" s="44" t="s">
        <v>819</v>
      </c>
      <c r="O179" s="46">
        <v>88.99</v>
      </c>
      <c r="P179" s="46">
        <f t="array" ref="P17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88.99</v>
      </c>
      <c r="Q179" s="48" t="s">
        <v>822</v>
      </c>
      <c r="R179" s="46" t="s">
        <v>823</v>
      </c>
      <c r="S179" s="46" t="s">
        <v>38</v>
      </c>
      <c r="T179" s="48" t="s">
        <v>312</v>
      </c>
      <c r="U179" s="48" t="s">
        <v>312</v>
      </c>
      <c r="V179" s="44" t="s">
        <v>824</v>
      </c>
      <c r="W179" s="44" t="s">
        <v>40</v>
      </c>
      <c r="X179" s="44" t="s">
        <v>37</v>
      </c>
    </row>
    <row r="180" spans="1:24" hidden="1" x14ac:dyDescent="0.3">
      <c r="A180" s="44">
        <v>178</v>
      </c>
      <c r="B180" s="44" t="s">
        <v>835</v>
      </c>
      <c r="C180" s="49" t="s">
        <v>836</v>
      </c>
      <c r="D180" s="44" t="s">
        <v>119</v>
      </c>
      <c r="E180" s="44" t="s">
        <v>815</v>
      </c>
      <c r="F180" s="44" t="s">
        <v>121</v>
      </c>
      <c r="G180" s="44" t="s">
        <v>837</v>
      </c>
      <c r="H180" s="44"/>
      <c r="I180" s="44" t="s">
        <v>838</v>
      </c>
      <c r="J180" s="44" t="s">
        <v>819</v>
      </c>
      <c r="K180" s="1" t="s">
        <v>839</v>
      </c>
      <c r="L180" s="1" t="s">
        <v>632</v>
      </c>
      <c r="M180" s="44"/>
      <c r="N180" s="44" t="s">
        <v>819</v>
      </c>
      <c r="O180" s="46">
        <v>8.99</v>
      </c>
      <c r="P180" s="46">
        <f t="array" ref="P18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8.99</v>
      </c>
      <c r="Q180" s="48" t="s">
        <v>822</v>
      </c>
      <c r="R180" s="46" t="s">
        <v>823</v>
      </c>
      <c r="S180" s="46" t="s">
        <v>38</v>
      </c>
      <c r="T180" s="48" t="s">
        <v>312</v>
      </c>
      <c r="U180" s="48" t="s">
        <v>312</v>
      </c>
      <c r="V180" s="44" t="s">
        <v>824</v>
      </c>
      <c r="W180" s="44" t="s">
        <v>40</v>
      </c>
      <c r="X180" s="44" t="s">
        <v>37</v>
      </c>
    </row>
    <row r="181" spans="1:24" hidden="1" x14ac:dyDescent="0.3">
      <c r="A181" s="44">
        <v>179</v>
      </c>
      <c r="B181" s="44" t="s">
        <v>840</v>
      </c>
      <c r="C181" s="49" t="s">
        <v>841</v>
      </c>
      <c r="D181" s="44" t="s">
        <v>119</v>
      </c>
      <c r="E181" s="44" t="s">
        <v>815</v>
      </c>
      <c r="F181" s="44" t="s">
        <v>392</v>
      </c>
      <c r="G181" s="44" t="s">
        <v>407</v>
      </c>
      <c r="H181" s="44" t="s">
        <v>842</v>
      </c>
      <c r="I181" s="44" t="s">
        <v>816</v>
      </c>
      <c r="J181" s="44" t="s">
        <v>843</v>
      </c>
      <c r="K181" s="1" t="s">
        <v>844</v>
      </c>
      <c r="M181" s="44"/>
      <c r="N181" s="44" t="s">
        <v>127</v>
      </c>
      <c r="O181" s="46">
        <v>20</v>
      </c>
      <c r="P181" s="46">
        <f t="array" ref="P18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20</v>
      </c>
      <c r="Q181" s="48" t="s">
        <v>822</v>
      </c>
      <c r="R181" s="46" t="s">
        <v>823</v>
      </c>
      <c r="S181" s="46" t="s">
        <v>38</v>
      </c>
      <c r="T181" s="48" t="s">
        <v>312</v>
      </c>
      <c r="U181" s="48" t="s">
        <v>312</v>
      </c>
      <c r="V181" s="44" t="s">
        <v>824</v>
      </c>
      <c r="W181" s="44" t="s">
        <v>40</v>
      </c>
      <c r="X181" s="44" t="s">
        <v>37</v>
      </c>
    </row>
    <row r="182" spans="1:24" hidden="1" x14ac:dyDescent="0.3">
      <c r="A182" s="44">
        <v>180</v>
      </c>
      <c r="B182" s="44" t="s">
        <v>845</v>
      </c>
      <c r="C182" s="49" t="s">
        <v>846</v>
      </c>
      <c r="D182" s="44" t="s">
        <v>119</v>
      </c>
      <c r="E182" s="44" t="s">
        <v>815</v>
      </c>
      <c r="F182" s="44" t="s">
        <v>392</v>
      </c>
      <c r="G182" s="44" t="s">
        <v>407</v>
      </c>
      <c r="H182" s="44" t="s">
        <v>842</v>
      </c>
      <c r="I182" s="44" t="s">
        <v>837</v>
      </c>
      <c r="J182" s="44" t="s">
        <v>843</v>
      </c>
      <c r="K182" s="1" t="s">
        <v>844</v>
      </c>
      <c r="M182" s="44"/>
      <c r="N182" s="44" t="s">
        <v>127</v>
      </c>
      <c r="O182" s="46">
        <v>8.5</v>
      </c>
      <c r="P182" s="46">
        <f t="array" ref="P18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8.5</v>
      </c>
      <c r="Q182" s="48" t="s">
        <v>822</v>
      </c>
      <c r="R182" s="46" t="s">
        <v>823</v>
      </c>
      <c r="S182" s="46" t="s">
        <v>38</v>
      </c>
      <c r="T182" s="48" t="s">
        <v>312</v>
      </c>
      <c r="U182" s="48" t="s">
        <v>312</v>
      </c>
      <c r="V182" s="44" t="s">
        <v>824</v>
      </c>
      <c r="W182" s="44" t="s">
        <v>40</v>
      </c>
      <c r="X182" s="44" t="s">
        <v>37</v>
      </c>
    </row>
    <row r="183" spans="1:24" hidden="1" x14ac:dyDescent="0.3">
      <c r="A183" s="44">
        <v>181</v>
      </c>
      <c r="B183" s="44" t="s">
        <v>847</v>
      </c>
      <c r="C183" s="49" t="s">
        <v>848</v>
      </c>
      <c r="D183" s="44" t="s">
        <v>119</v>
      </c>
      <c r="E183" s="44" t="s">
        <v>815</v>
      </c>
      <c r="F183" s="44" t="s">
        <v>392</v>
      </c>
      <c r="G183" s="44" t="s">
        <v>849</v>
      </c>
      <c r="H183" s="44" t="s">
        <v>842</v>
      </c>
      <c r="I183" s="44" t="s">
        <v>850</v>
      </c>
      <c r="J183" s="44" t="s">
        <v>843</v>
      </c>
      <c r="K183" s="1" t="s">
        <v>851</v>
      </c>
      <c r="M183" s="44"/>
      <c r="N183" s="44" t="s">
        <v>127</v>
      </c>
      <c r="O183" s="46">
        <v>1.92</v>
      </c>
      <c r="P183" s="46">
        <f t="array" ref="P18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1.92</v>
      </c>
      <c r="Q183" s="48" t="s">
        <v>822</v>
      </c>
      <c r="R183" s="46" t="s">
        <v>823</v>
      </c>
      <c r="S183" s="46" t="s">
        <v>38</v>
      </c>
      <c r="T183" s="48" t="s">
        <v>312</v>
      </c>
      <c r="U183" s="48" t="s">
        <v>312</v>
      </c>
      <c r="V183" s="44" t="s">
        <v>824</v>
      </c>
      <c r="W183" s="44" t="s">
        <v>40</v>
      </c>
      <c r="X183" s="44" t="s">
        <v>37</v>
      </c>
    </row>
    <row r="184" spans="1:24" hidden="1" x14ac:dyDescent="0.3">
      <c r="A184" s="44">
        <v>182</v>
      </c>
      <c r="B184" s="44" t="s">
        <v>852</v>
      </c>
      <c r="C184" s="49" t="s">
        <v>853</v>
      </c>
      <c r="D184" s="44" t="s">
        <v>119</v>
      </c>
      <c r="E184" s="44" t="s">
        <v>815</v>
      </c>
      <c r="F184" s="44" t="s">
        <v>140</v>
      </c>
      <c r="G184" s="44" t="s">
        <v>854</v>
      </c>
      <c r="H184" s="44"/>
      <c r="I184" s="44" t="s">
        <v>855</v>
      </c>
      <c r="J184" s="44" t="s">
        <v>843</v>
      </c>
      <c r="K184" s="1" t="s">
        <v>856</v>
      </c>
      <c r="M184" s="44"/>
      <c r="N184" s="44" t="s">
        <v>127</v>
      </c>
      <c r="O184" s="46">
        <v>3.27</v>
      </c>
      <c r="P184" s="46">
        <f t="array" ref="P18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3.27</v>
      </c>
      <c r="Q184" s="48" t="s">
        <v>822</v>
      </c>
      <c r="R184" s="46" t="s">
        <v>823</v>
      </c>
      <c r="S184" s="46" t="s">
        <v>38</v>
      </c>
      <c r="T184" s="48" t="s">
        <v>312</v>
      </c>
      <c r="U184" s="48" t="s">
        <v>312</v>
      </c>
      <c r="V184" s="44" t="s">
        <v>824</v>
      </c>
      <c r="W184" s="44" t="s">
        <v>40</v>
      </c>
      <c r="X184" s="44" t="s">
        <v>37</v>
      </c>
    </row>
    <row r="185" spans="1:24" hidden="1" x14ac:dyDescent="0.3">
      <c r="A185" s="44">
        <v>183</v>
      </c>
      <c r="B185" s="44" t="s">
        <v>857</v>
      </c>
      <c r="C185" s="49" t="s">
        <v>858</v>
      </c>
      <c r="D185" s="44" t="s">
        <v>119</v>
      </c>
      <c r="E185" s="44" t="s">
        <v>815</v>
      </c>
      <c r="F185" s="44" t="s">
        <v>140</v>
      </c>
      <c r="G185" s="44" t="s">
        <v>859</v>
      </c>
      <c r="H185" s="44"/>
      <c r="I185" s="44" t="s">
        <v>855</v>
      </c>
      <c r="J185" s="44" t="s">
        <v>843</v>
      </c>
      <c r="K185" s="1" t="s">
        <v>856</v>
      </c>
      <c r="M185" s="44"/>
      <c r="N185" s="44" t="s">
        <v>127</v>
      </c>
      <c r="O185" s="46">
        <v>7.49</v>
      </c>
      <c r="P185" s="46">
        <f t="array" ref="P18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7.49</v>
      </c>
      <c r="Q185" s="48" t="s">
        <v>822</v>
      </c>
      <c r="R185" s="46" t="s">
        <v>823</v>
      </c>
      <c r="S185" s="46" t="s">
        <v>38</v>
      </c>
      <c r="T185" s="48" t="s">
        <v>312</v>
      </c>
      <c r="U185" s="48" t="s">
        <v>312</v>
      </c>
      <c r="V185" s="44" t="s">
        <v>824</v>
      </c>
      <c r="W185" s="44" t="s">
        <v>40</v>
      </c>
      <c r="X185" s="44" t="s">
        <v>37</v>
      </c>
    </row>
    <row r="186" spans="1:24" hidden="1" x14ac:dyDescent="0.3">
      <c r="A186" s="44">
        <v>184</v>
      </c>
      <c r="B186" s="44" t="s">
        <v>860</v>
      </c>
      <c r="C186" s="49" t="s">
        <v>861</v>
      </c>
      <c r="D186" s="44" t="s">
        <v>119</v>
      </c>
      <c r="E186" s="44" t="s">
        <v>815</v>
      </c>
      <c r="F186" s="44" t="s">
        <v>140</v>
      </c>
      <c r="G186" s="44" t="s">
        <v>862</v>
      </c>
      <c r="H186" s="44"/>
      <c r="I186" s="44" t="s">
        <v>863</v>
      </c>
      <c r="J186" s="44" t="s">
        <v>843</v>
      </c>
      <c r="K186" s="1" t="s">
        <v>864</v>
      </c>
      <c r="M186" s="44"/>
      <c r="N186" s="44" t="s">
        <v>127</v>
      </c>
      <c r="O186" s="46">
        <v>2.35</v>
      </c>
      <c r="P186" s="46">
        <f t="array" ref="P18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2.35</v>
      </c>
      <c r="Q186" s="48" t="s">
        <v>822</v>
      </c>
      <c r="R186" s="46" t="s">
        <v>823</v>
      </c>
      <c r="S186" s="46" t="s">
        <v>38</v>
      </c>
      <c r="T186" s="48" t="s">
        <v>312</v>
      </c>
      <c r="U186" s="48" t="s">
        <v>312</v>
      </c>
      <c r="V186" s="44" t="s">
        <v>824</v>
      </c>
      <c r="W186" s="44" t="s">
        <v>40</v>
      </c>
      <c r="X186" s="44" t="s">
        <v>37</v>
      </c>
    </row>
    <row r="187" spans="1:24" hidden="1" x14ac:dyDescent="0.3">
      <c r="A187" s="44">
        <v>185</v>
      </c>
      <c r="B187" s="44" t="s">
        <v>865</v>
      </c>
      <c r="C187" s="49" t="s">
        <v>866</v>
      </c>
      <c r="D187" s="44" t="s">
        <v>119</v>
      </c>
      <c r="E187" s="44" t="s">
        <v>815</v>
      </c>
      <c r="F187" s="44" t="s">
        <v>140</v>
      </c>
      <c r="G187" s="44" t="s">
        <v>867</v>
      </c>
      <c r="H187" s="44"/>
      <c r="I187" s="44" t="s">
        <v>868</v>
      </c>
      <c r="J187" s="44" t="s">
        <v>869</v>
      </c>
      <c r="K187" s="1" t="s">
        <v>870</v>
      </c>
      <c r="M187" s="44"/>
      <c r="N187" s="44" t="s">
        <v>127</v>
      </c>
      <c r="O187" s="46">
        <v>10.83</v>
      </c>
      <c r="P187" s="46">
        <f t="array" ref="P18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10.83</v>
      </c>
      <c r="Q187" s="48" t="s">
        <v>822</v>
      </c>
      <c r="R187" s="46" t="s">
        <v>823</v>
      </c>
      <c r="S187" s="46" t="s">
        <v>38</v>
      </c>
      <c r="T187" s="48" t="s">
        <v>312</v>
      </c>
      <c r="U187" s="48" t="s">
        <v>312</v>
      </c>
      <c r="V187" s="44" t="s">
        <v>824</v>
      </c>
      <c r="W187" s="44" t="s">
        <v>40</v>
      </c>
      <c r="X187" s="44" t="s">
        <v>37</v>
      </c>
    </row>
    <row r="188" spans="1:24" x14ac:dyDescent="0.3">
      <c r="A188" s="2">
        <v>186</v>
      </c>
      <c r="B188" s="2" t="s">
        <v>871</v>
      </c>
      <c r="C188" s="50" t="s">
        <v>872</v>
      </c>
      <c r="D188" s="2" t="s">
        <v>119</v>
      </c>
      <c r="E188" s="2" t="s">
        <v>873</v>
      </c>
      <c r="F188" s="2" t="s">
        <v>121</v>
      </c>
      <c r="G188" s="2" t="s">
        <v>874</v>
      </c>
      <c r="H188" s="3"/>
      <c r="I188" s="2" t="s">
        <v>875</v>
      </c>
      <c r="J188" s="2" t="s">
        <v>876</v>
      </c>
      <c r="K188" s="2" t="s">
        <v>877</v>
      </c>
      <c r="N188" s="2" t="s">
        <v>876</v>
      </c>
      <c r="O188" s="3">
        <v>84.41</v>
      </c>
      <c r="P188" s="3">
        <f t="array" ref="P18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84.41</v>
      </c>
      <c r="Q188" s="48">
        <v>46141</v>
      </c>
      <c r="R188" s="3" t="s">
        <v>878</v>
      </c>
      <c r="S188" s="3" t="s">
        <v>38</v>
      </c>
      <c r="T188" s="48">
        <v>46141</v>
      </c>
      <c r="U188" s="48">
        <v>46141</v>
      </c>
      <c r="V188" s="3" t="s">
        <v>878</v>
      </c>
      <c r="W188" s="3" t="s">
        <v>40</v>
      </c>
      <c r="X188" s="2" t="s">
        <v>37</v>
      </c>
    </row>
    <row r="189" spans="1:24" x14ac:dyDescent="0.3">
      <c r="A189" s="2">
        <v>187</v>
      </c>
      <c r="B189" s="2" t="s">
        <v>879</v>
      </c>
      <c r="C189" s="50" t="s">
        <v>880</v>
      </c>
      <c r="D189" s="2" t="s">
        <v>119</v>
      </c>
      <c r="E189" s="2" t="s">
        <v>873</v>
      </c>
      <c r="F189" s="2" t="s">
        <v>121</v>
      </c>
      <c r="G189" s="2" t="s">
        <v>874</v>
      </c>
      <c r="H189" s="3"/>
      <c r="I189" s="2" t="s">
        <v>875</v>
      </c>
      <c r="J189" s="2" t="s">
        <v>876</v>
      </c>
      <c r="K189" s="2" t="s">
        <v>881</v>
      </c>
      <c r="N189" s="2" t="s">
        <v>876</v>
      </c>
      <c r="O189" s="3">
        <v>90.02</v>
      </c>
      <c r="P189" s="3">
        <f t="array" ref="P18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90.02</v>
      </c>
      <c r="Q189" s="48">
        <v>46141</v>
      </c>
      <c r="R189" s="3" t="s">
        <v>878</v>
      </c>
      <c r="S189" s="3" t="s">
        <v>38</v>
      </c>
      <c r="T189" s="48">
        <v>46141</v>
      </c>
      <c r="U189" s="48">
        <v>46141</v>
      </c>
      <c r="V189" s="3" t="s">
        <v>878</v>
      </c>
      <c r="W189" s="3" t="s">
        <v>40</v>
      </c>
      <c r="X189" s="2" t="s">
        <v>37</v>
      </c>
    </row>
    <row r="190" spans="1:24" x14ac:dyDescent="0.3">
      <c r="A190" s="2">
        <v>188</v>
      </c>
      <c r="B190" s="2" t="s">
        <v>882</v>
      </c>
      <c r="C190" s="50" t="s">
        <v>883</v>
      </c>
      <c r="D190" s="2" t="s">
        <v>119</v>
      </c>
      <c r="E190" s="2" t="s">
        <v>873</v>
      </c>
      <c r="F190" s="2" t="s">
        <v>121</v>
      </c>
      <c r="G190" s="2" t="s">
        <v>874</v>
      </c>
      <c r="H190" s="3"/>
      <c r="I190" s="2" t="s">
        <v>875</v>
      </c>
      <c r="J190" s="2" t="s">
        <v>876</v>
      </c>
      <c r="K190" s="2" t="s">
        <v>884</v>
      </c>
      <c r="N190" s="2" t="s">
        <v>876</v>
      </c>
      <c r="O190" s="3">
        <v>96.5</v>
      </c>
      <c r="P190" s="3">
        <f t="array" ref="P19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96.5</v>
      </c>
      <c r="Q190" s="48">
        <v>46141</v>
      </c>
      <c r="R190" s="3" t="s">
        <v>878</v>
      </c>
      <c r="S190" s="3" t="s">
        <v>38</v>
      </c>
      <c r="T190" s="48">
        <v>46141</v>
      </c>
      <c r="U190" s="48">
        <v>46141</v>
      </c>
      <c r="V190" s="3" t="s">
        <v>878</v>
      </c>
      <c r="W190" s="3" t="s">
        <v>40</v>
      </c>
      <c r="X190" s="2" t="s">
        <v>37</v>
      </c>
    </row>
    <row r="191" spans="1:24" x14ac:dyDescent="0.3">
      <c r="A191" s="2">
        <v>189</v>
      </c>
      <c r="B191" s="2" t="s">
        <v>885</v>
      </c>
      <c r="C191" s="50" t="s">
        <v>886</v>
      </c>
      <c r="D191" s="2" t="s">
        <v>119</v>
      </c>
      <c r="E191" s="2" t="s">
        <v>873</v>
      </c>
      <c r="F191" s="2" t="s">
        <v>121</v>
      </c>
      <c r="G191" s="2" t="s">
        <v>874</v>
      </c>
      <c r="H191" s="3"/>
      <c r="I191" s="2" t="s">
        <v>875</v>
      </c>
      <c r="J191" s="2" t="s">
        <v>876</v>
      </c>
      <c r="K191" s="2" t="s">
        <v>887</v>
      </c>
      <c r="N191" s="2" t="s">
        <v>876</v>
      </c>
      <c r="O191" s="3">
        <v>103.85</v>
      </c>
      <c r="P191" s="3">
        <f t="array" ref="P19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103.85</v>
      </c>
      <c r="Q191" s="48">
        <v>46141</v>
      </c>
      <c r="R191" s="3" t="s">
        <v>878</v>
      </c>
      <c r="S191" s="3" t="s">
        <v>38</v>
      </c>
      <c r="T191" s="48">
        <v>46141</v>
      </c>
      <c r="U191" s="48">
        <v>46141</v>
      </c>
      <c r="V191" s="3" t="s">
        <v>878</v>
      </c>
      <c r="W191" s="3" t="s">
        <v>40</v>
      </c>
      <c r="X191" s="2" t="s">
        <v>37</v>
      </c>
    </row>
    <row r="192" spans="1:24" x14ac:dyDescent="0.3">
      <c r="A192" s="2">
        <v>190</v>
      </c>
      <c r="B192" s="2" t="s">
        <v>888</v>
      </c>
      <c r="C192" s="50" t="s">
        <v>889</v>
      </c>
      <c r="D192" s="2" t="s">
        <v>119</v>
      </c>
      <c r="E192" s="2" t="s">
        <v>873</v>
      </c>
      <c r="F192" s="2" t="s">
        <v>121</v>
      </c>
      <c r="G192" s="2" t="s">
        <v>874</v>
      </c>
      <c r="H192" s="3"/>
      <c r="I192" s="2" t="s">
        <v>875</v>
      </c>
      <c r="J192" s="2" t="s">
        <v>876</v>
      </c>
      <c r="K192" s="2" t="s">
        <v>890</v>
      </c>
      <c r="N192" s="2" t="s">
        <v>876</v>
      </c>
      <c r="O192" s="3">
        <v>115.59</v>
      </c>
      <c r="P192" s="3">
        <f t="array" ref="P19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115.59</v>
      </c>
      <c r="Q192" s="48">
        <v>46141</v>
      </c>
      <c r="R192" s="3" t="s">
        <v>878</v>
      </c>
      <c r="S192" s="3" t="s">
        <v>38</v>
      </c>
      <c r="T192" s="48">
        <v>46141</v>
      </c>
      <c r="U192" s="48">
        <v>46141</v>
      </c>
      <c r="V192" s="3" t="s">
        <v>878</v>
      </c>
      <c r="W192" s="3" t="s">
        <v>40</v>
      </c>
      <c r="X192" s="2" t="s">
        <v>37</v>
      </c>
    </row>
    <row r="193" spans="1:24" hidden="1" x14ac:dyDescent="0.3">
      <c r="A193" s="2">
        <v>191</v>
      </c>
      <c r="B193" s="2" t="s">
        <v>891</v>
      </c>
      <c r="C193" s="50" t="s">
        <v>892</v>
      </c>
      <c r="D193" s="2" t="s">
        <v>119</v>
      </c>
      <c r="E193" s="2" t="s">
        <v>873</v>
      </c>
      <c r="F193" s="2" t="s">
        <v>121</v>
      </c>
      <c r="G193" s="2" t="s">
        <v>893</v>
      </c>
      <c r="H193" s="3"/>
      <c r="I193" s="2" t="s">
        <v>894</v>
      </c>
      <c r="J193" s="2" t="s">
        <v>876</v>
      </c>
      <c r="N193" s="2" t="s">
        <v>876</v>
      </c>
      <c r="O193" s="3">
        <v>11</v>
      </c>
      <c r="P193" s="3">
        <f t="array" ref="P19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11</v>
      </c>
      <c r="Q193" s="48">
        <v>46141</v>
      </c>
      <c r="R193" s="3" t="s">
        <v>878</v>
      </c>
      <c r="S193" s="3" t="s">
        <v>38</v>
      </c>
      <c r="T193" s="48">
        <v>46141</v>
      </c>
      <c r="U193" s="48">
        <v>46141</v>
      </c>
      <c r="V193" s="3" t="s">
        <v>878</v>
      </c>
      <c r="W193" s="3" t="s">
        <v>40</v>
      </c>
      <c r="X193" s="2" t="s">
        <v>37</v>
      </c>
    </row>
    <row r="194" spans="1:24" hidden="1" x14ac:dyDescent="0.3">
      <c r="A194" s="2">
        <v>196</v>
      </c>
      <c r="B194" s="2" t="s">
        <v>895</v>
      </c>
      <c r="C194" s="50" t="s">
        <v>896</v>
      </c>
      <c r="D194" s="2" t="s">
        <v>119</v>
      </c>
      <c r="E194" s="2" t="s">
        <v>873</v>
      </c>
      <c r="F194" s="2" t="s">
        <v>121</v>
      </c>
      <c r="G194" s="2" t="s">
        <v>897</v>
      </c>
      <c r="H194" s="3"/>
      <c r="I194" s="2" t="s">
        <v>898</v>
      </c>
      <c r="J194" s="2" t="s">
        <v>899</v>
      </c>
      <c r="K194" s="2" t="s">
        <v>900</v>
      </c>
      <c r="L194" s="2" t="s">
        <v>531</v>
      </c>
      <c r="N194" s="2" t="s">
        <v>127</v>
      </c>
      <c r="O194" s="3">
        <v>160.43</v>
      </c>
      <c r="P194" s="3">
        <f t="array" ref="P19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160.43</v>
      </c>
      <c r="Q194" s="48">
        <v>46141</v>
      </c>
      <c r="R194" s="3" t="s">
        <v>878</v>
      </c>
      <c r="S194" s="3" t="s">
        <v>38</v>
      </c>
      <c r="T194" s="47">
        <v>46141</v>
      </c>
      <c r="U194" s="48">
        <v>46141</v>
      </c>
      <c r="V194" s="3" t="s">
        <v>878</v>
      </c>
      <c r="W194" s="3" t="s">
        <v>40</v>
      </c>
      <c r="X194" s="2" t="s">
        <v>37</v>
      </c>
    </row>
    <row r="195" spans="1:24" hidden="1" x14ac:dyDescent="0.3">
      <c r="A195" s="2">
        <v>197</v>
      </c>
      <c r="B195" s="2" t="s">
        <v>901</v>
      </c>
      <c r="C195" s="50" t="s">
        <v>902</v>
      </c>
      <c r="D195" s="2" t="s">
        <v>119</v>
      </c>
      <c r="E195" s="2" t="s">
        <v>873</v>
      </c>
      <c r="F195" s="2" t="s">
        <v>121</v>
      </c>
      <c r="G195" s="2" t="s">
        <v>903</v>
      </c>
      <c r="H195" s="3"/>
      <c r="I195" s="2" t="s">
        <v>902</v>
      </c>
      <c r="J195" s="2" t="s">
        <v>819</v>
      </c>
      <c r="N195" s="2" t="s">
        <v>819</v>
      </c>
      <c r="O195" s="3">
        <v>0.92</v>
      </c>
      <c r="P195" s="3">
        <f t="array" ref="P19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0.92</v>
      </c>
      <c r="Q195" s="48">
        <v>46141</v>
      </c>
      <c r="R195" s="3" t="s">
        <v>878</v>
      </c>
      <c r="S195" s="3" t="s">
        <v>38</v>
      </c>
      <c r="T195" s="47">
        <v>46141</v>
      </c>
      <c r="U195" s="48">
        <v>46141</v>
      </c>
      <c r="V195" s="3" t="s">
        <v>878</v>
      </c>
      <c r="W195" s="3" t="s">
        <v>40</v>
      </c>
      <c r="X195" s="2" t="s">
        <v>37</v>
      </c>
    </row>
    <row r="196" spans="1:24" hidden="1" x14ac:dyDescent="0.3">
      <c r="A196" s="2">
        <v>198</v>
      </c>
      <c r="B196" s="2" t="s">
        <v>904</v>
      </c>
      <c r="C196" s="50" t="s">
        <v>905</v>
      </c>
      <c r="D196" s="2" t="s">
        <v>119</v>
      </c>
      <c r="E196" s="2" t="s">
        <v>873</v>
      </c>
      <c r="F196" s="2" t="s">
        <v>121</v>
      </c>
      <c r="G196" s="2" t="s">
        <v>906</v>
      </c>
      <c r="H196" s="3"/>
      <c r="I196" s="2" t="s">
        <v>905</v>
      </c>
      <c r="J196" s="2" t="s">
        <v>876</v>
      </c>
      <c r="N196" s="2" t="s">
        <v>876</v>
      </c>
      <c r="O196" s="3">
        <v>13</v>
      </c>
      <c r="P196" s="3">
        <f t="array" ref="P19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13</v>
      </c>
      <c r="Q196" s="48">
        <v>46141</v>
      </c>
      <c r="R196" s="3" t="s">
        <v>878</v>
      </c>
      <c r="S196" s="3" t="s">
        <v>38</v>
      </c>
      <c r="T196" s="47">
        <v>46141</v>
      </c>
      <c r="U196" s="48">
        <v>46141</v>
      </c>
      <c r="V196" s="3" t="s">
        <v>878</v>
      </c>
      <c r="W196" s="3" t="s">
        <v>40</v>
      </c>
      <c r="X196" s="2" t="s">
        <v>37</v>
      </c>
    </row>
    <row r="197" spans="1:24" hidden="1" x14ac:dyDescent="0.3">
      <c r="A197" s="2">
        <v>199</v>
      </c>
      <c r="B197" s="2" t="s">
        <v>907</v>
      </c>
      <c r="C197" s="50" t="s">
        <v>908</v>
      </c>
      <c r="D197" s="2" t="s">
        <v>119</v>
      </c>
      <c r="E197" s="2" t="s">
        <v>873</v>
      </c>
      <c r="F197" s="2" t="s">
        <v>121</v>
      </c>
      <c r="G197" s="2" t="s">
        <v>906</v>
      </c>
      <c r="H197" s="3"/>
      <c r="I197" s="2" t="s">
        <v>908</v>
      </c>
      <c r="J197" s="2" t="s">
        <v>909</v>
      </c>
      <c r="N197" s="2" t="s">
        <v>909</v>
      </c>
      <c r="O197" s="3">
        <v>1.2699800000000001</v>
      </c>
      <c r="P197" s="3">
        <f t="array" ref="P19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1.2699800000000001</v>
      </c>
      <c r="Q197" s="48">
        <v>46141</v>
      </c>
      <c r="R197" s="3" t="s">
        <v>878</v>
      </c>
      <c r="S197" s="3" t="s">
        <v>38</v>
      </c>
      <c r="T197" s="47">
        <v>46141</v>
      </c>
      <c r="U197" s="48">
        <v>46141</v>
      </c>
      <c r="V197" s="3" t="s">
        <v>878</v>
      </c>
      <c r="W197" s="3" t="s">
        <v>40</v>
      </c>
      <c r="X197" s="2" t="s">
        <v>37</v>
      </c>
    </row>
    <row r="198" spans="1:24" hidden="1" x14ac:dyDescent="0.3">
      <c r="A198" s="2">
        <v>200</v>
      </c>
      <c r="B198" s="2" t="s">
        <v>910</v>
      </c>
      <c r="C198" s="50" t="s">
        <v>911</v>
      </c>
      <c r="D198" s="2" t="s">
        <v>119</v>
      </c>
      <c r="E198" s="2" t="s">
        <v>873</v>
      </c>
      <c r="F198" s="2" t="s">
        <v>121</v>
      </c>
      <c r="G198" s="2" t="s">
        <v>906</v>
      </c>
      <c r="H198" s="3"/>
      <c r="I198" s="2" t="s">
        <v>911</v>
      </c>
      <c r="J198" s="2" t="s">
        <v>909</v>
      </c>
      <c r="N198" s="2" t="s">
        <v>909</v>
      </c>
      <c r="O198" s="3">
        <v>7.5899400000000004</v>
      </c>
      <c r="P198" s="3">
        <f t="array" ref="P19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7.5899400000000004</v>
      </c>
      <c r="Q198" s="48">
        <v>46141</v>
      </c>
      <c r="R198" s="3" t="s">
        <v>878</v>
      </c>
      <c r="S198" s="3" t="s">
        <v>38</v>
      </c>
      <c r="T198" s="47">
        <v>46141</v>
      </c>
      <c r="U198" s="48">
        <v>46141</v>
      </c>
      <c r="V198" s="3" t="s">
        <v>878</v>
      </c>
      <c r="W198" s="3" t="s">
        <v>40</v>
      </c>
      <c r="X198" s="2" t="s">
        <v>37</v>
      </c>
    </row>
    <row r="199" spans="1:24" hidden="1" x14ac:dyDescent="0.3">
      <c r="A199" s="2">
        <v>201</v>
      </c>
      <c r="B199" s="2" t="s">
        <v>912</v>
      </c>
      <c r="C199" s="50" t="s">
        <v>913</v>
      </c>
      <c r="D199" s="2" t="s">
        <v>119</v>
      </c>
      <c r="E199" s="2" t="s">
        <v>873</v>
      </c>
      <c r="F199" s="2" t="s">
        <v>121</v>
      </c>
      <c r="G199" s="2" t="s">
        <v>906</v>
      </c>
      <c r="H199" s="3"/>
      <c r="I199" s="2" t="s">
        <v>913</v>
      </c>
      <c r="J199" s="2" t="s">
        <v>909</v>
      </c>
      <c r="N199" s="2" t="s">
        <v>909</v>
      </c>
      <c r="O199" s="3">
        <v>5.1299799999999998</v>
      </c>
      <c r="P199" s="3">
        <f t="array" ref="P19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5.1299799999999998</v>
      </c>
      <c r="Q199" s="48">
        <v>46141</v>
      </c>
      <c r="R199" s="3" t="s">
        <v>878</v>
      </c>
      <c r="S199" s="3" t="s">
        <v>38</v>
      </c>
      <c r="T199" s="47">
        <v>46141</v>
      </c>
      <c r="U199" s="48">
        <v>46141</v>
      </c>
      <c r="V199" s="3" t="s">
        <v>878</v>
      </c>
      <c r="W199" s="3" t="s">
        <v>40</v>
      </c>
      <c r="X199" s="2" t="s">
        <v>37</v>
      </c>
    </row>
    <row r="200" spans="1:24" hidden="1" x14ac:dyDescent="0.3">
      <c r="A200" s="2">
        <v>202</v>
      </c>
      <c r="B200" s="2" t="s">
        <v>914</v>
      </c>
      <c r="C200" s="50" t="s">
        <v>915</v>
      </c>
      <c r="D200" s="2" t="s">
        <v>916</v>
      </c>
      <c r="E200" s="2" t="s">
        <v>873</v>
      </c>
      <c r="F200" s="2" t="s">
        <v>121</v>
      </c>
      <c r="G200" s="2" t="s">
        <v>906</v>
      </c>
      <c r="H200" s="3"/>
      <c r="I200" s="2" t="s">
        <v>915</v>
      </c>
      <c r="J200" s="2" t="s">
        <v>909</v>
      </c>
      <c r="N200" s="2" t="s">
        <v>909</v>
      </c>
      <c r="O200" s="3">
        <v>1.56</v>
      </c>
      <c r="P200" s="3">
        <f t="array" ref="P20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1.56</v>
      </c>
      <c r="Q200" s="48">
        <v>46141</v>
      </c>
      <c r="R200" s="3" t="s">
        <v>878</v>
      </c>
      <c r="S200" s="3" t="s">
        <v>38</v>
      </c>
      <c r="T200" s="47">
        <v>46141</v>
      </c>
      <c r="U200" s="48">
        <v>46141</v>
      </c>
      <c r="V200" s="3" t="s">
        <v>878</v>
      </c>
      <c r="W200" s="3" t="s">
        <v>40</v>
      </c>
      <c r="X200" s="2" t="s">
        <v>37</v>
      </c>
    </row>
    <row r="201" spans="1:24" hidden="1" x14ac:dyDescent="0.3">
      <c r="A201" s="2">
        <v>203</v>
      </c>
      <c r="B201" s="2" t="s">
        <v>917</v>
      </c>
      <c r="C201" s="50" t="s">
        <v>918</v>
      </c>
      <c r="D201" s="2" t="s">
        <v>916</v>
      </c>
      <c r="E201" s="2" t="s">
        <v>873</v>
      </c>
      <c r="F201" s="2" t="s">
        <v>121</v>
      </c>
      <c r="G201" s="2" t="s">
        <v>906</v>
      </c>
      <c r="H201" s="3"/>
      <c r="I201" s="2" t="s">
        <v>918</v>
      </c>
      <c r="J201" s="2" t="s">
        <v>909</v>
      </c>
      <c r="N201" s="2" t="s">
        <v>909</v>
      </c>
      <c r="O201" s="3">
        <v>1.56</v>
      </c>
      <c r="P201" s="3">
        <f t="array" ref="P20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1.56</v>
      </c>
      <c r="Q201" s="48">
        <v>46141</v>
      </c>
      <c r="R201" s="3" t="s">
        <v>878</v>
      </c>
      <c r="S201" s="3" t="s">
        <v>38</v>
      </c>
      <c r="T201" s="47">
        <v>46141</v>
      </c>
      <c r="U201" s="48">
        <v>46141</v>
      </c>
      <c r="V201" s="3" t="s">
        <v>878</v>
      </c>
      <c r="W201" s="3" t="s">
        <v>40</v>
      </c>
      <c r="X201" s="2" t="s">
        <v>37</v>
      </c>
    </row>
    <row r="202" spans="1:24" hidden="1" x14ac:dyDescent="0.3">
      <c r="A202" s="2">
        <v>204</v>
      </c>
      <c r="B202" s="2" t="s">
        <v>919</v>
      </c>
      <c r="C202" s="50" t="s">
        <v>920</v>
      </c>
      <c r="D202" s="2" t="s">
        <v>916</v>
      </c>
      <c r="E202" s="2" t="s">
        <v>873</v>
      </c>
      <c r="F202" s="2" t="s">
        <v>121</v>
      </c>
      <c r="G202" s="2" t="s">
        <v>906</v>
      </c>
      <c r="H202" s="3"/>
      <c r="I202" s="2" t="s">
        <v>920</v>
      </c>
      <c r="J202" s="2" t="s">
        <v>909</v>
      </c>
      <c r="N202" s="2" t="s">
        <v>909</v>
      </c>
      <c r="O202" s="3">
        <v>1.56</v>
      </c>
      <c r="P202" s="3">
        <f t="array" ref="P20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1.56</v>
      </c>
      <c r="Q202" s="48">
        <v>46141</v>
      </c>
      <c r="R202" s="3" t="s">
        <v>878</v>
      </c>
      <c r="S202" s="3" t="s">
        <v>38</v>
      </c>
      <c r="T202" s="47">
        <v>46141</v>
      </c>
      <c r="U202" s="48">
        <v>46141</v>
      </c>
      <c r="V202" s="3" t="s">
        <v>878</v>
      </c>
      <c r="W202" s="3" t="s">
        <v>40</v>
      </c>
      <c r="X202" s="2" t="s">
        <v>37</v>
      </c>
    </row>
    <row r="203" spans="1:24" hidden="1" x14ac:dyDescent="0.3">
      <c r="A203" s="2">
        <v>205</v>
      </c>
      <c r="B203" s="2" t="s">
        <v>921</v>
      </c>
      <c r="C203" s="50" t="s">
        <v>922</v>
      </c>
      <c r="D203" s="2" t="s">
        <v>119</v>
      </c>
      <c r="E203" s="2" t="s">
        <v>873</v>
      </c>
      <c r="F203" s="2" t="s">
        <v>121</v>
      </c>
      <c r="G203" s="2" t="s">
        <v>923</v>
      </c>
      <c r="H203" s="3"/>
      <c r="I203" s="2" t="s">
        <v>924</v>
      </c>
      <c r="J203" s="2" t="s">
        <v>925</v>
      </c>
      <c r="N203" s="2" t="s">
        <v>925</v>
      </c>
      <c r="O203" s="3">
        <v>1.01</v>
      </c>
      <c r="P203" s="3">
        <f t="array" ref="P20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1.01</v>
      </c>
      <c r="Q203" s="48">
        <v>46141</v>
      </c>
      <c r="R203" s="3" t="s">
        <v>878</v>
      </c>
      <c r="S203" s="3" t="s">
        <v>38</v>
      </c>
      <c r="T203" s="47">
        <v>46141</v>
      </c>
      <c r="U203" s="48">
        <v>46141</v>
      </c>
      <c r="V203" s="3" t="s">
        <v>878</v>
      </c>
      <c r="W203" s="3" t="s">
        <v>40</v>
      </c>
      <c r="X203" s="2" t="s">
        <v>37</v>
      </c>
    </row>
    <row r="204" spans="1:24" hidden="1" x14ac:dyDescent="0.3">
      <c r="A204" s="2">
        <v>206</v>
      </c>
      <c r="B204" s="2" t="s">
        <v>926</v>
      </c>
      <c r="C204" s="50" t="s">
        <v>927</v>
      </c>
      <c r="D204" s="2" t="s">
        <v>119</v>
      </c>
      <c r="E204" s="2" t="s">
        <v>873</v>
      </c>
      <c r="F204" s="2" t="s">
        <v>121</v>
      </c>
      <c r="G204" s="2" t="s">
        <v>928</v>
      </c>
      <c r="H204" s="3"/>
      <c r="I204" s="2" t="s">
        <v>929</v>
      </c>
      <c r="J204" s="2" t="s">
        <v>930</v>
      </c>
      <c r="K204" s="2" t="s">
        <v>931</v>
      </c>
      <c r="N204" s="2" t="s">
        <v>127</v>
      </c>
      <c r="O204" s="3">
        <v>4.3142300000000002</v>
      </c>
      <c r="P204" s="3">
        <f t="array" ref="P20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4.3142300000000002</v>
      </c>
      <c r="Q204" s="48">
        <v>46141</v>
      </c>
      <c r="R204" s="3" t="s">
        <v>878</v>
      </c>
      <c r="S204" s="3" t="s">
        <v>38</v>
      </c>
      <c r="T204" s="47">
        <v>46141</v>
      </c>
      <c r="U204" s="48">
        <v>46141</v>
      </c>
      <c r="V204" s="3" t="s">
        <v>878</v>
      </c>
      <c r="W204" s="3" t="s">
        <v>40</v>
      </c>
      <c r="X204" s="2" t="s">
        <v>37</v>
      </c>
    </row>
    <row r="205" spans="1:24" hidden="1" x14ac:dyDescent="0.3">
      <c r="A205" s="2">
        <v>207</v>
      </c>
      <c r="B205" s="2" t="s">
        <v>932</v>
      </c>
      <c r="C205" s="50" t="s">
        <v>933</v>
      </c>
      <c r="D205" s="2" t="s">
        <v>119</v>
      </c>
      <c r="E205" s="2" t="s">
        <v>873</v>
      </c>
      <c r="F205" s="2" t="s">
        <v>121</v>
      </c>
      <c r="G205" s="2" t="s">
        <v>928</v>
      </c>
      <c r="H205" s="3"/>
      <c r="I205" s="2" t="s">
        <v>929</v>
      </c>
      <c r="J205" s="2" t="s">
        <v>930</v>
      </c>
      <c r="K205" s="2" t="s">
        <v>934</v>
      </c>
      <c r="N205" s="2" t="s">
        <v>127</v>
      </c>
      <c r="O205" s="3">
        <v>6.7392000000000003</v>
      </c>
      <c r="P205" s="3">
        <f t="array" ref="P20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6.7392000000000003</v>
      </c>
      <c r="Q205" s="48">
        <v>46141</v>
      </c>
      <c r="R205" s="3" t="s">
        <v>878</v>
      </c>
      <c r="S205" s="3" t="s">
        <v>38</v>
      </c>
      <c r="T205" s="47">
        <v>46141</v>
      </c>
      <c r="U205" s="48">
        <v>46141</v>
      </c>
      <c r="V205" s="3" t="s">
        <v>878</v>
      </c>
      <c r="W205" s="3" t="s">
        <v>40</v>
      </c>
      <c r="X205" s="2" t="s">
        <v>37</v>
      </c>
    </row>
    <row r="206" spans="1:24" hidden="1" x14ac:dyDescent="0.3">
      <c r="A206" s="2">
        <v>208</v>
      </c>
      <c r="B206" s="2" t="s">
        <v>935</v>
      </c>
      <c r="C206" s="50" t="s">
        <v>936</v>
      </c>
      <c r="D206" s="2" t="s">
        <v>119</v>
      </c>
      <c r="E206" s="2" t="s">
        <v>873</v>
      </c>
      <c r="F206" s="2" t="s">
        <v>121</v>
      </c>
      <c r="G206" s="2" t="s">
        <v>928</v>
      </c>
      <c r="H206" s="3"/>
      <c r="I206" s="2" t="s">
        <v>929</v>
      </c>
      <c r="J206" s="2" t="s">
        <v>930</v>
      </c>
      <c r="K206" s="2" t="s">
        <v>937</v>
      </c>
      <c r="N206" s="2" t="s">
        <v>127</v>
      </c>
      <c r="O206" s="3">
        <v>9.6969999999999992</v>
      </c>
      <c r="P206" s="3">
        <f t="array" ref="P20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9.6969999999999992</v>
      </c>
      <c r="Q206" s="48">
        <v>46141</v>
      </c>
      <c r="R206" s="3" t="s">
        <v>878</v>
      </c>
      <c r="S206" s="3" t="s">
        <v>38</v>
      </c>
      <c r="T206" s="47">
        <v>46141</v>
      </c>
      <c r="U206" s="48">
        <v>46141</v>
      </c>
      <c r="V206" s="3" t="s">
        <v>878</v>
      </c>
      <c r="W206" s="3" t="s">
        <v>40</v>
      </c>
      <c r="X206" s="2" t="s">
        <v>37</v>
      </c>
    </row>
    <row r="207" spans="1:24" hidden="1" x14ac:dyDescent="0.3">
      <c r="A207" s="2">
        <v>209</v>
      </c>
      <c r="B207" s="2" t="s">
        <v>938</v>
      </c>
      <c r="C207" s="50" t="s">
        <v>939</v>
      </c>
      <c r="D207" s="2" t="s">
        <v>119</v>
      </c>
      <c r="E207" s="2" t="s">
        <v>873</v>
      </c>
      <c r="F207" s="2" t="s">
        <v>121</v>
      </c>
      <c r="G207" s="2" t="s">
        <v>928</v>
      </c>
      <c r="H207" s="3"/>
      <c r="I207" s="2" t="s">
        <v>929</v>
      </c>
      <c r="J207" s="2" t="s">
        <v>930</v>
      </c>
      <c r="K207" s="2" t="s">
        <v>940</v>
      </c>
      <c r="N207" s="2" t="s">
        <v>127</v>
      </c>
      <c r="O207" s="3">
        <v>13.191179999999999</v>
      </c>
      <c r="P207" s="3">
        <f t="array" ref="P20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13.191179999999999</v>
      </c>
      <c r="Q207" s="48">
        <v>46141</v>
      </c>
      <c r="R207" s="3" t="s">
        <v>878</v>
      </c>
      <c r="S207" s="3" t="s">
        <v>38</v>
      </c>
      <c r="T207" s="47">
        <v>46141</v>
      </c>
      <c r="U207" s="48">
        <v>46141</v>
      </c>
      <c r="V207" s="3" t="s">
        <v>878</v>
      </c>
      <c r="W207" s="3" t="s">
        <v>40</v>
      </c>
      <c r="X207" s="2" t="s">
        <v>37</v>
      </c>
    </row>
    <row r="208" spans="1:24" hidden="1" x14ac:dyDescent="0.3">
      <c r="A208" s="2">
        <v>210</v>
      </c>
      <c r="B208" s="2" t="s">
        <v>941</v>
      </c>
      <c r="C208" s="50" t="s">
        <v>942</v>
      </c>
      <c r="D208" s="2" t="s">
        <v>119</v>
      </c>
      <c r="E208" s="2" t="s">
        <v>873</v>
      </c>
      <c r="F208" s="2" t="s">
        <v>121</v>
      </c>
      <c r="G208" s="2" t="s">
        <v>928</v>
      </c>
      <c r="H208" s="3"/>
      <c r="I208" s="2" t="s">
        <v>929</v>
      </c>
      <c r="J208" s="2" t="s">
        <v>930</v>
      </c>
      <c r="K208" s="2" t="s">
        <v>943</v>
      </c>
      <c r="N208" s="2" t="s">
        <v>127</v>
      </c>
      <c r="O208" s="3">
        <v>17.231760000000001</v>
      </c>
      <c r="P208" s="3">
        <f t="array" ref="P20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17.231760000000001</v>
      </c>
      <c r="Q208" s="48">
        <v>46141</v>
      </c>
      <c r="R208" s="3" t="s">
        <v>878</v>
      </c>
      <c r="S208" s="3" t="s">
        <v>38</v>
      </c>
      <c r="T208" s="47">
        <v>46141</v>
      </c>
      <c r="U208" s="48">
        <v>46141</v>
      </c>
      <c r="V208" s="3" t="s">
        <v>878</v>
      </c>
      <c r="W208" s="3" t="s">
        <v>40</v>
      </c>
      <c r="X208" s="2" t="s">
        <v>37</v>
      </c>
    </row>
    <row r="209" spans="1:24" hidden="1" x14ac:dyDescent="0.3">
      <c r="A209" s="2">
        <v>211</v>
      </c>
      <c r="B209" s="2" t="s">
        <v>944</v>
      </c>
      <c r="C209" s="50" t="s">
        <v>945</v>
      </c>
      <c r="D209" s="2" t="s">
        <v>119</v>
      </c>
      <c r="E209" s="2" t="s">
        <v>873</v>
      </c>
      <c r="F209" s="2" t="s">
        <v>121</v>
      </c>
      <c r="G209" s="2" t="s">
        <v>928</v>
      </c>
      <c r="H209" s="3"/>
      <c r="I209" s="2" t="s">
        <v>929</v>
      </c>
      <c r="J209" s="2" t="s">
        <v>930</v>
      </c>
      <c r="K209" s="2" t="s">
        <v>946</v>
      </c>
      <c r="N209" s="2" t="s">
        <v>127</v>
      </c>
      <c r="O209" s="3">
        <v>21.817720000000001</v>
      </c>
      <c r="P209" s="3">
        <f t="array" ref="P20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21.817720000000001</v>
      </c>
      <c r="Q209" s="48">
        <v>46141</v>
      </c>
      <c r="R209" s="3" t="s">
        <v>878</v>
      </c>
      <c r="S209" s="3" t="s">
        <v>38</v>
      </c>
      <c r="T209" s="47">
        <v>46141</v>
      </c>
      <c r="U209" s="48">
        <v>46141</v>
      </c>
      <c r="V209" s="3" t="s">
        <v>878</v>
      </c>
      <c r="W209" s="3" t="s">
        <v>40</v>
      </c>
      <c r="X209" s="2" t="s">
        <v>37</v>
      </c>
    </row>
    <row r="210" spans="1:24" hidden="1" x14ac:dyDescent="0.3">
      <c r="A210" s="2">
        <v>212</v>
      </c>
      <c r="B210" s="2" t="s">
        <v>947</v>
      </c>
      <c r="C210" s="50" t="s">
        <v>948</v>
      </c>
      <c r="D210" s="2" t="s">
        <v>119</v>
      </c>
      <c r="E210" s="2" t="s">
        <v>873</v>
      </c>
      <c r="F210" s="2" t="s">
        <v>121</v>
      </c>
      <c r="G210" s="2" t="s">
        <v>928</v>
      </c>
      <c r="H210" s="3"/>
      <c r="I210" s="2" t="s">
        <v>929</v>
      </c>
      <c r="J210" s="2" t="s">
        <v>930</v>
      </c>
      <c r="K210" s="2" t="s">
        <v>126</v>
      </c>
      <c r="N210" s="2" t="s">
        <v>127</v>
      </c>
      <c r="O210" s="3">
        <v>26.926909999999999</v>
      </c>
      <c r="P210" s="3">
        <f t="array" ref="P21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26.926909999999999</v>
      </c>
      <c r="Q210" s="48">
        <v>46141</v>
      </c>
      <c r="R210" s="3" t="s">
        <v>878</v>
      </c>
      <c r="S210" s="3" t="s">
        <v>38</v>
      </c>
      <c r="T210" s="47">
        <v>46141</v>
      </c>
      <c r="U210" s="48">
        <v>46141</v>
      </c>
      <c r="V210" s="3" t="s">
        <v>878</v>
      </c>
      <c r="W210" s="3" t="s">
        <v>40</v>
      </c>
      <c r="X210" s="2" t="s">
        <v>37</v>
      </c>
    </row>
    <row r="211" spans="1:24" hidden="1" x14ac:dyDescent="0.3">
      <c r="A211" s="2">
        <v>213</v>
      </c>
      <c r="B211" s="2" t="s">
        <v>949</v>
      </c>
      <c r="C211" s="50" t="s">
        <v>950</v>
      </c>
      <c r="D211" s="2" t="s">
        <v>119</v>
      </c>
      <c r="E211" s="2" t="s">
        <v>873</v>
      </c>
      <c r="F211" s="2" t="s">
        <v>121</v>
      </c>
      <c r="G211" s="2" t="s">
        <v>928</v>
      </c>
      <c r="H211" s="3"/>
      <c r="I211" s="2" t="s">
        <v>929</v>
      </c>
      <c r="J211" s="2" t="s">
        <v>930</v>
      </c>
      <c r="K211" s="2" t="s">
        <v>132</v>
      </c>
      <c r="N211" s="2" t="s">
        <v>127</v>
      </c>
      <c r="O211" s="3">
        <v>42.074370000000002</v>
      </c>
      <c r="P211" s="3">
        <f t="array" ref="P21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42.074370000000002</v>
      </c>
      <c r="Q211" s="48">
        <v>46141</v>
      </c>
      <c r="R211" s="3" t="s">
        <v>878</v>
      </c>
      <c r="S211" s="3" t="s">
        <v>38</v>
      </c>
      <c r="T211" s="47">
        <v>46141</v>
      </c>
      <c r="U211" s="48">
        <v>46141</v>
      </c>
      <c r="V211" s="3" t="s">
        <v>878</v>
      </c>
      <c r="W211" s="3" t="s">
        <v>40</v>
      </c>
      <c r="X211" s="2" t="s">
        <v>37</v>
      </c>
    </row>
    <row r="212" spans="1:24" hidden="1" x14ac:dyDescent="0.3">
      <c r="A212" s="2">
        <v>214</v>
      </c>
      <c r="B212" s="2" t="s">
        <v>951</v>
      </c>
      <c r="C212" s="50" t="s">
        <v>952</v>
      </c>
      <c r="D212" s="2" t="s">
        <v>119</v>
      </c>
      <c r="E212" s="2" t="s">
        <v>873</v>
      </c>
      <c r="F212" s="2" t="s">
        <v>121</v>
      </c>
      <c r="G212" s="2" t="s">
        <v>928</v>
      </c>
      <c r="H212" s="3"/>
      <c r="I212" s="2" t="s">
        <v>929</v>
      </c>
      <c r="J212" s="2" t="s">
        <v>930</v>
      </c>
      <c r="K212" s="2" t="s">
        <v>953</v>
      </c>
      <c r="N212" s="2" t="s">
        <v>127</v>
      </c>
      <c r="O212" s="3">
        <v>52.787689999999998</v>
      </c>
      <c r="P212" s="3">
        <f t="array" ref="P21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52.787689999999998</v>
      </c>
      <c r="Q212" s="48">
        <v>46141</v>
      </c>
      <c r="R212" s="3" t="s">
        <v>878</v>
      </c>
      <c r="S212" s="3" t="s">
        <v>38</v>
      </c>
      <c r="T212" s="47">
        <v>46141</v>
      </c>
      <c r="U212" s="48">
        <v>46141</v>
      </c>
      <c r="V212" s="3" t="s">
        <v>878</v>
      </c>
      <c r="W212" s="3" t="s">
        <v>40</v>
      </c>
      <c r="X212" s="2" t="s">
        <v>37</v>
      </c>
    </row>
    <row r="213" spans="1:24" hidden="1" x14ac:dyDescent="0.3">
      <c r="A213" s="2">
        <v>215</v>
      </c>
      <c r="B213" s="2" t="s">
        <v>954</v>
      </c>
      <c r="C213" s="50" t="s">
        <v>955</v>
      </c>
      <c r="D213" s="2" t="s">
        <v>119</v>
      </c>
      <c r="E213" s="2" t="s">
        <v>873</v>
      </c>
      <c r="F213" s="2" t="s">
        <v>140</v>
      </c>
      <c r="G213" s="2" t="s">
        <v>956</v>
      </c>
      <c r="H213" s="3"/>
      <c r="I213" s="2" t="s">
        <v>957</v>
      </c>
      <c r="J213" s="2" t="s">
        <v>925</v>
      </c>
      <c r="K213" s="2" t="s">
        <v>958</v>
      </c>
      <c r="N213" s="2" t="s">
        <v>925</v>
      </c>
      <c r="O213" s="3">
        <v>2.4110499999999999</v>
      </c>
      <c r="P213" s="3">
        <f t="array" ref="P21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2.4110499999999999</v>
      </c>
      <c r="Q213" s="48">
        <v>46141</v>
      </c>
      <c r="R213" s="3" t="s">
        <v>878</v>
      </c>
      <c r="S213" s="3" t="s">
        <v>38</v>
      </c>
      <c r="T213" s="47">
        <v>46141</v>
      </c>
      <c r="U213" s="48">
        <v>46141</v>
      </c>
      <c r="V213" s="3" t="s">
        <v>878</v>
      </c>
      <c r="W213" s="3" t="s">
        <v>40</v>
      </c>
      <c r="X213" s="2" t="s">
        <v>37</v>
      </c>
    </row>
    <row r="214" spans="1:24" hidden="1" x14ac:dyDescent="0.3">
      <c r="A214" s="2">
        <v>216</v>
      </c>
      <c r="B214" s="2" t="s">
        <v>959</v>
      </c>
      <c r="C214" s="50" t="s">
        <v>960</v>
      </c>
      <c r="D214" s="2" t="s">
        <v>119</v>
      </c>
      <c r="E214" s="2" t="s">
        <v>873</v>
      </c>
      <c r="F214" s="2" t="s">
        <v>140</v>
      </c>
      <c r="G214" s="2" t="s">
        <v>956</v>
      </c>
      <c r="H214" s="3"/>
      <c r="I214" s="2" t="s">
        <v>957</v>
      </c>
      <c r="J214" s="2" t="s">
        <v>925</v>
      </c>
      <c r="K214" s="2" t="s">
        <v>961</v>
      </c>
      <c r="N214" s="2" t="s">
        <v>925</v>
      </c>
      <c r="O214" s="3">
        <v>2.6913</v>
      </c>
      <c r="P214" s="3">
        <f t="array" ref="P21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2.6913</v>
      </c>
      <c r="Q214" s="48">
        <v>46141</v>
      </c>
      <c r="R214" s="3" t="s">
        <v>878</v>
      </c>
      <c r="S214" s="3" t="s">
        <v>38</v>
      </c>
      <c r="T214" s="47">
        <v>46141</v>
      </c>
      <c r="U214" s="48">
        <v>46141</v>
      </c>
      <c r="V214" s="3" t="s">
        <v>878</v>
      </c>
      <c r="W214" s="3" t="s">
        <v>40</v>
      </c>
      <c r="X214" s="2" t="s">
        <v>37</v>
      </c>
    </row>
    <row r="215" spans="1:24" hidden="1" x14ac:dyDescent="0.3">
      <c r="A215" s="2">
        <v>217</v>
      </c>
      <c r="B215" s="2" t="s">
        <v>962</v>
      </c>
      <c r="C215" s="50" t="s">
        <v>963</v>
      </c>
      <c r="D215" s="2" t="s">
        <v>119</v>
      </c>
      <c r="E215" s="2" t="s">
        <v>873</v>
      </c>
      <c r="F215" s="2" t="s">
        <v>140</v>
      </c>
      <c r="G215" s="2" t="s">
        <v>956</v>
      </c>
      <c r="H215" s="3"/>
      <c r="I215" s="2" t="s">
        <v>964</v>
      </c>
      <c r="J215" s="2" t="s">
        <v>925</v>
      </c>
      <c r="K215" s="2" t="s">
        <v>961</v>
      </c>
      <c r="N215" s="2" t="s">
        <v>925</v>
      </c>
      <c r="O215" s="3">
        <v>1.6189100000000001</v>
      </c>
      <c r="P215" s="3">
        <f t="array" ref="P21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1.6189100000000001</v>
      </c>
      <c r="Q215" s="48">
        <v>46141</v>
      </c>
      <c r="R215" s="3" t="s">
        <v>878</v>
      </c>
      <c r="S215" s="3" t="s">
        <v>38</v>
      </c>
      <c r="T215" s="47">
        <v>46141</v>
      </c>
      <c r="U215" s="48">
        <v>46141</v>
      </c>
      <c r="V215" s="3" t="s">
        <v>878</v>
      </c>
      <c r="W215" s="3" t="s">
        <v>40</v>
      </c>
      <c r="X215" s="2" t="s">
        <v>37</v>
      </c>
    </row>
    <row r="216" spans="1:24" hidden="1" x14ac:dyDescent="0.3">
      <c r="A216" s="2">
        <v>218</v>
      </c>
      <c r="B216" s="2" t="s">
        <v>965</v>
      </c>
      <c r="C216" s="50" t="s">
        <v>966</v>
      </c>
      <c r="D216" s="2" t="s">
        <v>119</v>
      </c>
      <c r="E216" s="2" t="s">
        <v>873</v>
      </c>
      <c r="F216" s="2" t="s">
        <v>140</v>
      </c>
      <c r="G216" s="2" t="s">
        <v>967</v>
      </c>
      <c r="H216" s="3"/>
      <c r="I216" s="2" t="s">
        <v>968</v>
      </c>
      <c r="J216" s="2" t="s">
        <v>513</v>
      </c>
      <c r="K216" s="2" t="s">
        <v>788</v>
      </c>
      <c r="N216" s="2" t="s">
        <v>127</v>
      </c>
      <c r="O216" s="3">
        <v>55.57</v>
      </c>
      <c r="P216" s="3">
        <f t="array" ref="P21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55.57</v>
      </c>
      <c r="Q216" s="48">
        <v>46141</v>
      </c>
      <c r="R216" s="3" t="s">
        <v>878</v>
      </c>
      <c r="S216" s="3" t="s">
        <v>38</v>
      </c>
      <c r="T216" s="47">
        <v>46141</v>
      </c>
      <c r="U216" s="48">
        <v>46141</v>
      </c>
      <c r="V216" s="3" t="s">
        <v>878</v>
      </c>
      <c r="W216" s="3" t="s">
        <v>40</v>
      </c>
      <c r="X216" s="2" t="s">
        <v>37</v>
      </c>
    </row>
    <row r="217" spans="1:24" hidden="1" x14ac:dyDescent="0.3">
      <c r="A217" s="2">
        <v>219</v>
      </c>
      <c r="B217" s="2" t="s">
        <v>969</v>
      </c>
      <c r="C217" s="50" t="s">
        <v>970</v>
      </c>
      <c r="D217" s="2" t="s">
        <v>119</v>
      </c>
      <c r="E217" s="2" t="s">
        <v>873</v>
      </c>
      <c r="F217" s="2" t="s">
        <v>140</v>
      </c>
      <c r="G217" s="2" t="s">
        <v>967</v>
      </c>
      <c r="H217" s="3"/>
      <c r="I217" s="2" t="s">
        <v>968</v>
      </c>
      <c r="J217" s="2" t="s">
        <v>513</v>
      </c>
      <c r="K217" s="2" t="s">
        <v>971</v>
      </c>
      <c r="N217" s="2" t="s">
        <v>127</v>
      </c>
      <c r="O217" s="3">
        <v>51.305</v>
      </c>
      <c r="P217" s="3">
        <f t="array" ref="P21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51.305</v>
      </c>
      <c r="Q217" s="48">
        <v>46141</v>
      </c>
      <c r="R217" s="3" t="s">
        <v>878</v>
      </c>
      <c r="S217" s="3" t="s">
        <v>38</v>
      </c>
      <c r="T217" s="47">
        <v>46141</v>
      </c>
      <c r="U217" s="48">
        <v>46141</v>
      </c>
      <c r="V217" s="3" t="s">
        <v>878</v>
      </c>
      <c r="W217" s="3" t="s">
        <v>40</v>
      </c>
      <c r="X217" s="2" t="s">
        <v>37</v>
      </c>
    </row>
    <row r="218" spans="1:24" hidden="1" x14ac:dyDescent="0.3">
      <c r="A218" s="2">
        <v>220</v>
      </c>
      <c r="B218" s="2" t="s">
        <v>972</v>
      </c>
      <c r="C218" s="50" t="s">
        <v>973</v>
      </c>
      <c r="D218" s="2" t="s">
        <v>119</v>
      </c>
      <c r="E218" s="2" t="s">
        <v>873</v>
      </c>
      <c r="F218" s="2" t="s">
        <v>140</v>
      </c>
      <c r="G218" s="2" t="s">
        <v>967</v>
      </c>
      <c r="H218" s="3"/>
      <c r="I218" s="2" t="s">
        <v>974</v>
      </c>
      <c r="J218" s="2" t="s">
        <v>513</v>
      </c>
      <c r="K218" s="2" t="s">
        <v>971</v>
      </c>
      <c r="N218" s="2" t="s">
        <v>127</v>
      </c>
      <c r="O218" s="3">
        <v>13.66778</v>
      </c>
      <c r="P218" s="3">
        <f t="array" ref="P21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13.66778</v>
      </c>
      <c r="Q218" s="48">
        <v>46141</v>
      </c>
      <c r="R218" s="3" t="s">
        <v>878</v>
      </c>
      <c r="S218" s="3" t="s">
        <v>38</v>
      </c>
      <c r="T218" s="47">
        <v>46141</v>
      </c>
      <c r="U218" s="48">
        <v>46141</v>
      </c>
      <c r="V218" s="3" t="s">
        <v>878</v>
      </c>
      <c r="W218" s="3" t="s">
        <v>40</v>
      </c>
      <c r="X218" s="2" t="s">
        <v>37</v>
      </c>
    </row>
    <row r="219" spans="1:24" hidden="1" x14ac:dyDescent="0.3">
      <c r="A219" s="2">
        <v>221</v>
      </c>
      <c r="B219" s="2" t="s">
        <v>975</v>
      </c>
      <c r="C219" s="50" t="s">
        <v>976</v>
      </c>
      <c r="D219" s="2" t="s">
        <v>119</v>
      </c>
      <c r="E219" s="2" t="s">
        <v>873</v>
      </c>
      <c r="F219" s="2" t="s">
        <v>140</v>
      </c>
      <c r="G219" s="2" t="s">
        <v>977</v>
      </c>
      <c r="H219" s="3"/>
      <c r="I219" s="2" t="s">
        <v>978</v>
      </c>
      <c r="J219" s="2" t="s">
        <v>143</v>
      </c>
      <c r="K219" s="2" t="s">
        <v>979</v>
      </c>
      <c r="N219" s="2" t="s">
        <v>127</v>
      </c>
      <c r="O219" s="2">
        <v>1.3041400000000001</v>
      </c>
      <c r="P219" s="3">
        <f t="array" ref="P21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1.3041400000000001</v>
      </c>
      <c r="Q219" s="48">
        <v>46141</v>
      </c>
      <c r="R219" s="3" t="s">
        <v>878</v>
      </c>
      <c r="S219" s="3" t="s">
        <v>38</v>
      </c>
      <c r="T219" s="47">
        <v>46141</v>
      </c>
      <c r="U219" s="48">
        <v>46141</v>
      </c>
      <c r="V219" s="3" t="s">
        <v>878</v>
      </c>
      <c r="W219" s="3" t="s">
        <v>40</v>
      </c>
      <c r="X219" s="2" t="s">
        <v>37</v>
      </c>
    </row>
    <row r="220" spans="1:24" hidden="1" x14ac:dyDescent="0.3">
      <c r="A220" s="2">
        <v>222</v>
      </c>
      <c r="B220" s="2" t="s">
        <v>980</v>
      </c>
      <c r="C220" s="50" t="s">
        <v>981</v>
      </c>
      <c r="D220" s="2" t="s">
        <v>119</v>
      </c>
      <c r="E220" s="2" t="s">
        <v>873</v>
      </c>
      <c r="F220" s="2" t="s">
        <v>140</v>
      </c>
      <c r="G220" s="2" t="s">
        <v>977</v>
      </c>
      <c r="H220" s="3"/>
      <c r="I220" s="2" t="s">
        <v>978</v>
      </c>
      <c r="J220" s="2" t="s">
        <v>143</v>
      </c>
      <c r="K220" s="2" t="s">
        <v>982</v>
      </c>
      <c r="N220" s="2" t="s">
        <v>127</v>
      </c>
      <c r="O220" s="3">
        <v>1.8391500000000001</v>
      </c>
      <c r="P220" s="3">
        <f t="array" ref="P22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1.8391500000000001</v>
      </c>
      <c r="Q220" s="48">
        <v>46141</v>
      </c>
      <c r="R220" s="3" t="s">
        <v>878</v>
      </c>
      <c r="S220" s="3" t="s">
        <v>38</v>
      </c>
      <c r="T220" s="47">
        <v>46141</v>
      </c>
      <c r="U220" s="48">
        <v>46141</v>
      </c>
      <c r="V220" s="3" t="s">
        <v>878</v>
      </c>
      <c r="W220" s="3" t="s">
        <v>40</v>
      </c>
      <c r="X220" s="2" t="s">
        <v>37</v>
      </c>
    </row>
    <row r="221" spans="1:24" hidden="1" x14ac:dyDescent="0.3">
      <c r="A221" s="2">
        <v>223</v>
      </c>
      <c r="B221" s="2" t="s">
        <v>983</v>
      </c>
      <c r="C221" s="50" t="s">
        <v>984</v>
      </c>
      <c r="D221" s="2" t="s">
        <v>119</v>
      </c>
      <c r="E221" s="2" t="s">
        <v>873</v>
      </c>
      <c r="F221" s="2" t="s">
        <v>121</v>
      </c>
      <c r="G221" s="2" t="s">
        <v>985</v>
      </c>
      <c r="H221" s="3"/>
      <c r="I221" s="2" t="s">
        <v>986</v>
      </c>
      <c r="J221" s="2" t="s">
        <v>987</v>
      </c>
      <c r="K221" s="2" t="s">
        <v>844</v>
      </c>
      <c r="N221" s="2" t="s">
        <v>127</v>
      </c>
      <c r="O221" s="3">
        <v>7.95235</v>
      </c>
      <c r="P221" s="3">
        <f t="array" ref="P22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7.95235</v>
      </c>
      <c r="Q221" s="48">
        <v>46141</v>
      </c>
      <c r="R221" s="3" t="s">
        <v>878</v>
      </c>
      <c r="S221" s="3" t="s">
        <v>38</v>
      </c>
      <c r="T221" s="47">
        <v>46141</v>
      </c>
      <c r="U221" s="48">
        <v>46141</v>
      </c>
      <c r="V221" s="3" t="s">
        <v>878</v>
      </c>
      <c r="W221" s="3" t="s">
        <v>40</v>
      </c>
      <c r="X221" s="2" t="s">
        <v>37</v>
      </c>
    </row>
    <row r="222" spans="1:24" hidden="1" x14ac:dyDescent="0.3">
      <c r="A222" s="2">
        <v>224</v>
      </c>
      <c r="B222" s="2" t="s">
        <v>988</v>
      </c>
      <c r="C222" s="50" t="s">
        <v>989</v>
      </c>
      <c r="D222" s="2" t="s">
        <v>119</v>
      </c>
      <c r="E222" s="2" t="s">
        <v>120</v>
      </c>
      <c r="F222" s="2" t="s">
        <v>121</v>
      </c>
      <c r="G222" s="2" t="s">
        <v>782</v>
      </c>
      <c r="H222" s="3"/>
      <c r="I222" s="2" t="s">
        <v>990</v>
      </c>
      <c r="J222" s="2" t="s">
        <v>143</v>
      </c>
      <c r="K222" s="2" t="s">
        <v>991</v>
      </c>
      <c r="N222" s="2" t="s">
        <v>127</v>
      </c>
      <c r="O222" s="3">
        <v>0.20749999999999999</v>
      </c>
      <c r="P222" s="3">
        <f t="array" ref="P22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0.20749999999999999</v>
      </c>
      <c r="Q222" s="48">
        <v>46141</v>
      </c>
      <c r="R222" s="3" t="s">
        <v>878</v>
      </c>
      <c r="S222" s="3" t="s">
        <v>38</v>
      </c>
      <c r="T222" s="47">
        <v>46141</v>
      </c>
      <c r="U222" s="48">
        <v>46141</v>
      </c>
      <c r="V222" s="3" t="s">
        <v>878</v>
      </c>
      <c r="W222" s="3" t="s">
        <v>40</v>
      </c>
      <c r="X222" s="2" t="s">
        <v>37</v>
      </c>
    </row>
    <row r="223" spans="1:24" hidden="1" x14ac:dyDescent="0.3">
      <c r="A223" s="2">
        <v>225</v>
      </c>
      <c r="B223" s="2" t="s">
        <v>992</v>
      </c>
      <c r="C223" s="50" t="s">
        <v>993</v>
      </c>
      <c r="D223" s="2" t="s">
        <v>119</v>
      </c>
      <c r="E223" s="2" t="s">
        <v>873</v>
      </c>
      <c r="F223" s="2" t="s">
        <v>140</v>
      </c>
      <c r="G223" s="2" t="s">
        <v>994</v>
      </c>
      <c r="H223" s="3"/>
      <c r="I223" s="2" t="s">
        <v>995</v>
      </c>
      <c r="J223" s="2" t="s">
        <v>996</v>
      </c>
      <c r="K223" s="2" t="s">
        <v>997</v>
      </c>
      <c r="N223" s="2" t="s">
        <v>127</v>
      </c>
      <c r="O223" s="3">
        <v>41.83</v>
      </c>
      <c r="P223" s="3">
        <f t="array" ref="P22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41.83</v>
      </c>
      <c r="Q223" s="48">
        <v>46141</v>
      </c>
      <c r="R223" s="3" t="s">
        <v>878</v>
      </c>
      <c r="S223" s="3" t="s">
        <v>38</v>
      </c>
      <c r="T223" s="47">
        <v>46141</v>
      </c>
      <c r="U223" s="48">
        <v>46141</v>
      </c>
      <c r="V223" s="3" t="s">
        <v>878</v>
      </c>
      <c r="W223" s="3" t="s">
        <v>40</v>
      </c>
      <c r="X223" s="2" t="s">
        <v>37</v>
      </c>
    </row>
    <row r="224" spans="1:24" hidden="1" x14ac:dyDescent="0.3">
      <c r="A224" s="2">
        <v>226</v>
      </c>
      <c r="B224" s="2" t="s">
        <v>998</v>
      </c>
      <c r="C224" s="50" t="s">
        <v>999</v>
      </c>
      <c r="D224" s="2" t="s">
        <v>119</v>
      </c>
      <c r="E224" s="2" t="s">
        <v>873</v>
      </c>
      <c r="F224" s="2" t="s">
        <v>121</v>
      </c>
      <c r="G224" s="2" t="s">
        <v>994</v>
      </c>
      <c r="H224" s="3"/>
      <c r="I224" s="2" t="s">
        <v>999</v>
      </c>
      <c r="J224" s="2" t="s">
        <v>143</v>
      </c>
      <c r="K224" s="50" t="s">
        <v>1000</v>
      </c>
      <c r="N224" s="2" t="s">
        <v>127</v>
      </c>
      <c r="O224" s="3">
        <v>2.58846</v>
      </c>
      <c r="P224" s="3">
        <f t="array" ref="P22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2.58846</v>
      </c>
      <c r="Q224" s="48">
        <v>46141</v>
      </c>
      <c r="R224" s="3" t="s">
        <v>878</v>
      </c>
      <c r="S224" s="3" t="s">
        <v>38</v>
      </c>
      <c r="T224" s="47">
        <v>46141</v>
      </c>
      <c r="U224" s="48">
        <v>46141</v>
      </c>
      <c r="V224" s="3" t="s">
        <v>878</v>
      </c>
      <c r="W224" s="3" t="s">
        <v>40</v>
      </c>
      <c r="X224" s="2" t="s">
        <v>37</v>
      </c>
    </row>
    <row r="225" spans="1:24" hidden="1" x14ac:dyDescent="0.3">
      <c r="A225" s="2">
        <v>227</v>
      </c>
      <c r="B225" s="2" t="s">
        <v>1001</v>
      </c>
      <c r="C225" s="50" t="s">
        <v>1002</v>
      </c>
      <c r="D225" s="2" t="s">
        <v>119</v>
      </c>
      <c r="E225" s="2" t="s">
        <v>873</v>
      </c>
      <c r="F225" s="2" t="s">
        <v>121</v>
      </c>
      <c r="G225" s="2" t="s">
        <v>994</v>
      </c>
      <c r="H225" s="3"/>
      <c r="I225" s="2" t="s">
        <v>1002</v>
      </c>
      <c r="J225" s="2" t="s">
        <v>143</v>
      </c>
      <c r="K225" s="50" t="s">
        <v>1003</v>
      </c>
      <c r="N225" s="2" t="s">
        <v>127</v>
      </c>
      <c r="O225" s="3">
        <v>10.573650000000001</v>
      </c>
      <c r="P225" s="3">
        <f t="array" ref="P22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10.573650000000001</v>
      </c>
      <c r="Q225" s="48">
        <v>46141</v>
      </c>
      <c r="R225" s="3" t="s">
        <v>878</v>
      </c>
      <c r="S225" s="3" t="s">
        <v>38</v>
      </c>
      <c r="T225" s="47">
        <v>46141</v>
      </c>
      <c r="U225" s="48">
        <v>46141</v>
      </c>
      <c r="V225" s="3" t="s">
        <v>878</v>
      </c>
      <c r="W225" s="3" t="s">
        <v>40</v>
      </c>
      <c r="X225" s="2" t="s">
        <v>37</v>
      </c>
    </row>
    <row r="226" spans="1:24" hidden="1" x14ac:dyDescent="0.3">
      <c r="A226" s="2">
        <v>228</v>
      </c>
      <c r="B226" s="2" t="s">
        <v>1004</v>
      </c>
      <c r="C226" s="50" t="s">
        <v>1005</v>
      </c>
      <c r="D226" s="2" t="s">
        <v>119</v>
      </c>
      <c r="E226" s="2" t="s">
        <v>873</v>
      </c>
      <c r="F226" s="2" t="s">
        <v>121</v>
      </c>
      <c r="G226" s="2" t="s">
        <v>994</v>
      </c>
      <c r="H226" s="3"/>
      <c r="I226" s="2" t="s">
        <v>1005</v>
      </c>
      <c r="J226" s="2" t="s">
        <v>143</v>
      </c>
      <c r="K226" s="50" t="s">
        <v>1006</v>
      </c>
      <c r="N226" s="2" t="s">
        <v>127</v>
      </c>
      <c r="O226" s="3">
        <v>11.85</v>
      </c>
      <c r="P226" s="3">
        <f t="array" ref="P22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11.85</v>
      </c>
      <c r="Q226" s="48">
        <v>46141</v>
      </c>
      <c r="R226" s="3" t="s">
        <v>878</v>
      </c>
      <c r="S226" s="3" t="s">
        <v>38</v>
      </c>
      <c r="T226" s="47">
        <v>46141</v>
      </c>
      <c r="U226" s="48">
        <v>46141</v>
      </c>
      <c r="V226" s="3" t="s">
        <v>878</v>
      </c>
      <c r="W226" s="3" t="s">
        <v>40</v>
      </c>
      <c r="X226" s="2" t="s">
        <v>37</v>
      </c>
    </row>
    <row r="227" spans="1:24" hidden="1" x14ac:dyDescent="0.3">
      <c r="A227" s="2">
        <v>229</v>
      </c>
      <c r="B227" s="2" t="s">
        <v>1007</v>
      </c>
      <c r="C227" s="50" t="s">
        <v>1008</v>
      </c>
      <c r="D227" s="2" t="s">
        <v>119</v>
      </c>
      <c r="E227" s="2" t="s">
        <v>873</v>
      </c>
      <c r="F227" s="2" t="s">
        <v>121</v>
      </c>
      <c r="G227" s="2" t="s">
        <v>994</v>
      </c>
      <c r="H227" s="3"/>
      <c r="I227" s="2" t="s">
        <v>1008</v>
      </c>
      <c r="J227" s="2" t="s">
        <v>143</v>
      </c>
      <c r="K227" s="50" t="s">
        <v>1009</v>
      </c>
      <c r="N227" s="2" t="s">
        <v>127</v>
      </c>
      <c r="O227" s="3">
        <v>4.9412200000000004</v>
      </c>
      <c r="P227" s="3">
        <f t="array" ref="P22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4.9412200000000004</v>
      </c>
      <c r="Q227" s="48">
        <v>46141</v>
      </c>
      <c r="R227" s="3" t="s">
        <v>878</v>
      </c>
      <c r="S227" s="3" t="s">
        <v>38</v>
      </c>
      <c r="T227" s="47">
        <v>46141</v>
      </c>
      <c r="U227" s="48">
        <v>46141</v>
      </c>
      <c r="V227" s="3" t="s">
        <v>878</v>
      </c>
      <c r="W227" s="3" t="s">
        <v>40</v>
      </c>
      <c r="X227" s="2" t="s">
        <v>37</v>
      </c>
    </row>
    <row r="228" spans="1:24" hidden="1" x14ac:dyDescent="0.3">
      <c r="A228" s="2">
        <v>230</v>
      </c>
      <c r="B228" s="2" t="s">
        <v>1010</v>
      </c>
      <c r="C228" s="50" t="s">
        <v>1011</v>
      </c>
      <c r="D228" s="2" t="s">
        <v>119</v>
      </c>
      <c r="E228" s="2" t="s">
        <v>873</v>
      </c>
      <c r="F228" s="2" t="s">
        <v>121</v>
      </c>
      <c r="G228" s="2" t="s">
        <v>994</v>
      </c>
      <c r="H228" s="3"/>
      <c r="I228" s="2" t="s">
        <v>1011</v>
      </c>
      <c r="J228" s="2" t="s">
        <v>143</v>
      </c>
      <c r="K228" s="50" t="s">
        <v>1012</v>
      </c>
      <c r="N228" s="2" t="s">
        <v>127</v>
      </c>
      <c r="O228" s="3">
        <v>9</v>
      </c>
      <c r="P228" s="3">
        <f t="array" ref="P22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9</v>
      </c>
      <c r="Q228" s="48">
        <v>46141</v>
      </c>
      <c r="R228" s="3" t="s">
        <v>878</v>
      </c>
      <c r="S228" s="3" t="s">
        <v>38</v>
      </c>
      <c r="T228" s="47">
        <v>46141</v>
      </c>
      <c r="U228" s="48">
        <v>46141</v>
      </c>
      <c r="V228" s="3" t="s">
        <v>878</v>
      </c>
      <c r="W228" s="3" t="s">
        <v>40</v>
      </c>
      <c r="X228" s="2" t="s">
        <v>37</v>
      </c>
    </row>
    <row r="229" spans="1:24" hidden="1" x14ac:dyDescent="0.3">
      <c r="A229" s="2">
        <v>231</v>
      </c>
      <c r="B229" s="2" t="s">
        <v>1013</v>
      </c>
      <c r="C229" s="50" t="s">
        <v>1014</v>
      </c>
      <c r="D229" s="2" t="s">
        <v>119</v>
      </c>
      <c r="E229" s="2" t="s">
        <v>873</v>
      </c>
      <c r="F229" s="2" t="s">
        <v>121</v>
      </c>
      <c r="G229" s="2" t="s">
        <v>994</v>
      </c>
      <c r="H229" s="3"/>
      <c r="I229" s="2" t="s">
        <v>1014</v>
      </c>
      <c r="J229" s="2" t="s">
        <v>143</v>
      </c>
      <c r="K229" s="50" t="s">
        <v>1015</v>
      </c>
      <c r="N229" s="2" t="s">
        <v>127</v>
      </c>
      <c r="O229" s="3">
        <v>1.88242</v>
      </c>
      <c r="P229" s="3">
        <f t="array" ref="P22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1.88242</v>
      </c>
      <c r="Q229" s="48">
        <v>46141</v>
      </c>
      <c r="R229" s="3" t="s">
        <v>878</v>
      </c>
      <c r="S229" s="3" t="s">
        <v>38</v>
      </c>
      <c r="T229" s="47">
        <v>46141</v>
      </c>
      <c r="U229" s="48">
        <v>46141</v>
      </c>
      <c r="V229" s="3" t="s">
        <v>878</v>
      </c>
      <c r="W229" s="3" t="s">
        <v>40</v>
      </c>
      <c r="X229" s="2" t="s">
        <v>37</v>
      </c>
    </row>
    <row r="230" spans="1:24" hidden="1" x14ac:dyDescent="0.3">
      <c r="A230" s="2">
        <v>232</v>
      </c>
      <c r="B230" s="2" t="s">
        <v>1016</v>
      </c>
      <c r="C230" s="50" t="s">
        <v>1017</v>
      </c>
      <c r="D230" s="2" t="s">
        <v>119</v>
      </c>
      <c r="E230" s="2" t="s">
        <v>873</v>
      </c>
      <c r="F230" s="2" t="s">
        <v>140</v>
      </c>
      <c r="G230" s="2" t="s">
        <v>32</v>
      </c>
      <c r="H230" s="3"/>
      <c r="I230" s="2" t="s">
        <v>1018</v>
      </c>
      <c r="J230" s="2" t="s">
        <v>987</v>
      </c>
      <c r="K230" s="2" t="s">
        <v>1019</v>
      </c>
      <c r="N230" s="2" t="s">
        <v>127</v>
      </c>
      <c r="O230" s="3">
        <v>5.57294</v>
      </c>
      <c r="P230" s="3">
        <f t="array" ref="P23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5.57294</v>
      </c>
      <c r="Q230" s="48">
        <v>46141</v>
      </c>
      <c r="R230" s="3" t="s">
        <v>878</v>
      </c>
      <c r="S230" s="3" t="s">
        <v>38</v>
      </c>
      <c r="T230" s="47">
        <v>46141</v>
      </c>
      <c r="U230" s="48">
        <v>46141</v>
      </c>
      <c r="V230" s="3" t="s">
        <v>878</v>
      </c>
      <c r="W230" s="3" t="s">
        <v>40</v>
      </c>
      <c r="X230" s="2" t="s">
        <v>37</v>
      </c>
    </row>
    <row r="231" spans="1:24" hidden="1" x14ac:dyDescent="0.3">
      <c r="A231" s="2">
        <v>233</v>
      </c>
      <c r="B231" s="2" t="s">
        <v>1020</v>
      </c>
      <c r="C231" s="50" t="s">
        <v>1021</v>
      </c>
      <c r="D231" s="2" t="s">
        <v>119</v>
      </c>
      <c r="E231" s="2" t="s">
        <v>873</v>
      </c>
      <c r="F231" s="2" t="s">
        <v>140</v>
      </c>
      <c r="G231" s="2" t="s">
        <v>32</v>
      </c>
      <c r="H231" s="3"/>
      <c r="I231" s="2" t="s">
        <v>1022</v>
      </c>
      <c r="J231" s="2" t="s">
        <v>143</v>
      </c>
      <c r="K231" s="2" t="s">
        <v>1023</v>
      </c>
      <c r="N231" s="2" t="s">
        <v>127</v>
      </c>
      <c r="O231" s="3">
        <v>0.71767000000000003</v>
      </c>
      <c r="P231" s="3">
        <f t="array" ref="P23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0.71767000000000003</v>
      </c>
      <c r="Q231" s="48">
        <v>46141</v>
      </c>
      <c r="R231" s="3" t="s">
        <v>878</v>
      </c>
      <c r="S231" s="3" t="s">
        <v>38</v>
      </c>
      <c r="T231" s="47">
        <v>46141</v>
      </c>
      <c r="U231" s="48">
        <v>46141</v>
      </c>
      <c r="V231" s="3" t="s">
        <v>878</v>
      </c>
      <c r="W231" s="3" t="s">
        <v>40</v>
      </c>
      <c r="X231" s="2" t="s">
        <v>37</v>
      </c>
    </row>
    <row r="232" spans="1:24" hidden="1" x14ac:dyDescent="0.3">
      <c r="A232" s="2">
        <v>234</v>
      </c>
      <c r="B232" s="2" t="s">
        <v>1024</v>
      </c>
      <c r="C232" s="50" t="s">
        <v>1025</v>
      </c>
      <c r="D232" s="2" t="s">
        <v>119</v>
      </c>
      <c r="E232" s="2" t="s">
        <v>873</v>
      </c>
      <c r="F232" s="2" t="s">
        <v>121</v>
      </c>
      <c r="G232" s="2" t="s">
        <v>994</v>
      </c>
      <c r="H232" s="3"/>
      <c r="I232" s="2" t="s">
        <v>1026</v>
      </c>
      <c r="J232" s="2" t="s">
        <v>819</v>
      </c>
      <c r="N232" s="2" t="s">
        <v>819</v>
      </c>
      <c r="O232" s="3"/>
      <c r="P232" s="3">
        <f t="array" ref="P23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0</v>
      </c>
      <c r="Q232" s="48">
        <v>46141</v>
      </c>
      <c r="R232" s="3" t="s">
        <v>878</v>
      </c>
      <c r="S232" s="3" t="s">
        <v>38</v>
      </c>
      <c r="T232" s="47">
        <v>46141</v>
      </c>
      <c r="U232" s="48">
        <v>46141</v>
      </c>
      <c r="V232" s="3" t="s">
        <v>878</v>
      </c>
      <c r="W232" s="3" t="s">
        <v>40</v>
      </c>
      <c r="X232" s="2" t="s">
        <v>41</v>
      </c>
    </row>
    <row r="233" spans="1:24" hidden="1" x14ac:dyDescent="0.3">
      <c r="A233" s="2">
        <v>235</v>
      </c>
      <c r="B233" s="2" t="s">
        <v>1027</v>
      </c>
      <c r="C233" s="50" t="s">
        <v>1028</v>
      </c>
      <c r="D233" s="2" t="s">
        <v>119</v>
      </c>
      <c r="E233" s="2" t="s">
        <v>1029</v>
      </c>
      <c r="F233" s="2" t="s">
        <v>121</v>
      </c>
      <c r="G233" s="2" t="s">
        <v>1029</v>
      </c>
      <c r="H233" s="3"/>
      <c r="I233" s="2" t="s">
        <v>1028</v>
      </c>
      <c r="J233" s="2" t="s">
        <v>819</v>
      </c>
      <c r="N233" s="2" t="s">
        <v>819</v>
      </c>
      <c r="O233" s="3">
        <v>18.899999999999999</v>
      </c>
      <c r="P233" s="3">
        <v>18.899999999999999</v>
      </c>
      <c r="Q233" s="48">
        <v>46083</v>
      </c>
      <c r="R233" s="3" t="s">
        <v>1030</v>
      </c>
      <c r="S233" s="3" t="s">
        <v>38</v>
      </c>
      <c r="T233" s="47">
        <v>46141</v>
      </c>
      <c r="U233" s="48">
        <v>46155</v>
      </c>
      <c r="V233" s="3" t="s">
        <v>1031</v>
      </c>
      <c r="W233" s="3" t="s">
        <v>40</v>
      </c>
      <c r="X233" s="2" t="s">
        <v>37</v>
      </c>
    </row>
    <row r="234" spans="1:24" hidden="1" x14ac:dyDescent="0.3">
      <c r="A234" s="2">
        <v>236</v>
      </c>
      <c r="B234" s="2" t="s">
        <v>1032</v>
      </c>
      <c r="C234" s="50" t="s">
        <v>1033</v>
      </c>
      <c r="D234" s="2" t="s">
        <v>119</v>
      </c>
      <c r="E234" s="2" t="s">
        <v>1029</v>
      </c>
      <c r="F234" s="2" t="s">
        <v>121</v>
      </c>
      <c r="G234" s="2" t="s">
        <v>1029</v>
      </c>
      <c r="H234" s="3"/>
      <c r="I234" s="2" t="s">
        <v>1033</v>
      </c>
      <c r="J234" s="2" t="s">
        <v>819</v>
      </c>
      <c r="N234" s="2" t="s">
        <v>819</v>
      </c>
      <c r="O234" s="3">
        <v>15.3</v>
      </c>
      <c r="P234" s="3">
        <v>15.3</v>
      </c>
      <c r="Q234" s="48">
        <v>46083</v>
      </c>
      <c r="R234" s="3" t="s">
        <v>1030</v>
      </c>
      <c r="S234" s="3" t="s">
        <v>38</v>
      </c>
      <c r="T234" s="47">
        <v>46141</v>
      </c>
      <c r="U234" s="48">
        <v>46155</v>
      </c>
      <c r="V234" s="3" t="s">
        <v>1031</v>
      </c>
      <c r="W234" s="3" t="s">
        <v>40</v>
      </c>
      <c r="X234" s="2" t="s">
        <v>37</v>
      </c>
    </row>
    <row r="235" spans="1:24" hidden="1" x14ac:dyDescent="0.3">
      <c r="A235" s="2">
        <v>237</v>
      </c>
      <c r="B235" s="2" t="s">
        <v>1034</v>
      </c>
      <c r="C235" s="50" t="s">
        <v>1035</v>
      </c>
      <c r="D235" s="2" t="s">
        <v>119</v>
      </c>
      <c r="E235" s="2" t="s">
        <v>1029</v>
      </c>
      <c r="F235" s="2" t="s">
        <v>121</v>
      </c>
      <c r="G235" s="2" t="s">
        <v>1029</v>
      </c>
      <c r="H235" s="3"/>
      <c r="I235" s="2" t="s">
        <v>1035</v>
      </c>
      <c r="J235" s="2" t="s">
        <v>987</v>
      </c>
      <c r="K235" s="2" t="s">
        <v>1019</v>
      </c>
      <c r="N235" s="2" t="s">
        <v>127</v>
      </c>
      <c r="O235" s="3">
        <v>7.65</v>
      </c>
      <c r="P235" s="3">
        <v>7.65</v>
      </c>
      <c r="Q235" s="48">
        <v>46083</v>
      </c>
      <c r="R235" s="3" t="s">
        <v>1030</v>
      </c>
      <c r="S235" s="3" t="s">
        <v>38</v>
      </c>
      <c r="T235" s="47">
        <v>46141</v>
      </c>
      <c r="U235" s="48">
        <v>46155</v>
      </c>
      <c r="V235" s="3" t="s">
        <v>1031</v>
      </c>
      <c r="W235" s="3" t="s">
        <v>40</v>
      </c>
      <c r="X235" s="2" t="s">
        <v>37</v>
      </c>
    </row>
    <row r="236" spans="1:24" hidden="1" x14ac:dyDescent="0.3">
      <c r="A236" s="2">
        <v>238</v>
      </c>
      <c r="B236" s="2" t="s">
        <v>1036</v>
      </c>
      <c r="C236" s="50" t="s">
        <v>1037</v>
      </c>
      <c r="D236" s="2" t="s">
        <v>119</v>
      </c>
      <c r="E236" s="2" t="s">
        <v>1029</v>
      </c>
      <c r="F236" s="2" t="s">
        <v>121</v>
      </c>
      <c r="G236" s="2" t="s">
        <v>1029</v>
      </c>
      <c r="H236" s="3"/>
      <c r="I236" s="2" t="s">
        <v>1037</v>
      </c>
      <c r="J236" s="2" t="s">
        <v>987</v>
      </c>
      <c r="K236" s="2" t="s">
        <v>1019</v>
      </c>
      <c r="N236" s="2" t="s">
        <v>127</v>
      </c>
      <c r="O236" s="3">
        <v>7.65</v>
      </c>
      <c r="P236" s="3">
        <v>7.65</v>
      </c>
      <c r="Q236" s="48">
        <v>46083</v>
      </c>
      <c r="R236" s="3" t="s">
        <v>1030</v>
      </c>
      <c r="S236" s="3" t="s">
        <v>38</v>
      </c>
      <c r="T236" s="47">
        <v>46141</v>
      </c>
      <c r="U236" s="48">
        <v>46155</v>
      </c>
      <c r="V236" s="3" t="s">
        <v>1031</v>
      </c>
      <c r="W236" s="3" t="s">
        <v>40</v>
      </c>
      <c r="X236" s="2" t="s">
        <v>37</v>
      </c>
    </row>
    <row r="237" spans="1:24" hidden="1" x14ac:dyDescent="0.3">
      <c r="A237" s="2">
        <v>239</v>
      </c>
      <c r="B237" s="2" t="s">
        <v>1038</v>
      </c>
      <c r="C237" s="50" t="s">
        <v>1039</v>
      </c>
      <c r="D237" s="2" t="s">
        <v>119</v>
      </c>
      <c r="E237" s="2" t="s">
        <v>1029</v>
      </c>
      <c r="F237" s="2" t="s">
        <v>121</v>
      </c>
      <c r="G237" s="2" t="s">
        <v>1029</v>
      </c>
      <c r="H237" s="3"/>
      <c r="I237" s="2" t="s">
        <v>1039</v>
      </c>
      <c r="J237" s="2" t="s">
        <v>987</v>
      </c>
      <c r="K237" s="2" t="s">
        <v>1019</v>
      </c>
      <c r="N237" s="2" t="s">
        <v>127</v>
      </c>
      <c r="O237" s="3">
        <v>15.75</v>
      </c>
      <c r="P237" s="3">
        <v>15.75</v>
      </c>
      <c r="Q237" s="48">
        <v>46083</v>
      </c>
      <c r="R237" s="3" t="s">
        <v>1030</v>
      </c>
      <c r="S237" s="3" t="s">
        <v>38</v>
      </c>
      <c r="T237" s="47">
        <v>46141</v>
      </c>
      <c r="U237" s="48">
        <v>46155</v>
      </c>
      <c r="V237" s="3" t="s">
        <v>1031</v>
      </c>
      <c r="W237" s="3" t="s">
        <v>40</v>
      </c>
      <c r="X237" s="2" t="s">
        <v>37</v>
      </c>
    </row>
    <row r="238" spans="1:24" hidden="1" x14ac:dyDescent="0.3">
      <c r="A238" s="2">
        <v>240</v>
      </c>
      <c r="B238" s="2" t="s">
        <v>1040</v>
      </c>
      <c r="C238" s="50" t="s">
        <v>1041</v>
      </c>
      <c r="D238" s="2" t="s">
        <v>119</v>
      </c>
      <c r="E238" s="2" t="s">
        <v>1029</v>
      </c>
      <c r="F238" s="2" t="s">
        <v>121</v>
      </c>
      <c r="G238" s="2" t="s">
        <v>1029</v>
      </c>
      <c r="H238" s="3"/>
      <c r="I238" s="2" t="s">
        <v>1041</v>
      </c>
      <c r="J238" s="2" t="s">
        <v>556</v>
      </c>
      <c r="N238" s="2" t="s">
        <v>556</v>
      </c>
      <c r="O238" s="3">
        <v>16.974</v>
      </c>
      <c r="P238" s="3">
        <v>16.974</v>
      </c>
      <c r="Q238" s="48">
        <v>46083</v>
      </c>
      <c r="R238" s="3" t="s">
        <v>1030</v>
      </c>
      <c r="S238" s="3" t="s">
        <v>38</v>
      </c>
      <c r="T238" s="47">
        <v>46141</v>
      </c>
      <c r="U238" s="48">
        <v>46155</v>
      </c>
      <c r="V238" s="3" t="s">
        <v>1031</v>
      </c>
      <c r="W238" s="3" t="s">
        <v>40</v>
      </c>
      <c r="X238" s="2" t="s">
        <v>37</v>
      </c>
    </row>
    <row r="239" spans="1:24" hidden="1" x14ac:dyDescent="0.3">
      <c r="A239" s="2">
        <v>241</v>
      </c>
      <c r="B239" s="2" t="s">
        <v>1042</v>
      </c>
      <c r="C239" s="50" t="s">
        <v>1043</v>
      </c>
      <c r="D239" s="2" t="s">
        <v>119</v>
      </c>
      <c r="E239" s="2" t="s">
        <v>873</v>
      </c>
      <c r="F239" s="2" t="s">
        <v>121</v>
      </c>
      <c r="G239" s="2" t="s">
        <v>1044</v>
      </c>
      <c r="H239" s="3"/>
      <c r="I239" s="2" t="s">
        <v>1045</v>
      </c>
      <c r="J239" s="2" t="s">
        <v>143</v>
      </c>
      <c r="K239" s="2" t="s">
        <v>1046</v>
      </c>
      <c r="N239" s="2" t="s">
        <v>127</v>
      </c>
      <c r="O239" s="3">
        <v>44.57</v>
      </c>
      <c r="P239" s="3">
        <f t="array" ref="P23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44.57</v>
      </c>
      <c r="Q239" s="48">
        <v>46141</v>
      </c>
      <c r="R239" s="3" t="s">
        <v>878</v>
      </c>
      <c r="S239" s="3" t="s">
        <v>38</v>
      </c>
      <c r="T239" s="47">
        <v>46141</v>
      </c>
      <c r="U239" s="48">
        <v>46141</v>
      </c>
      <c r="V239" s="3" t="s">
        <v>878</v>
      </c>
      <c r="W239" s="3" t="s">
        <v>40</v>
      </c>
      <c r="X239" s="2" t="s">
        <v>37</v>
      </c>
    </row>
    <row r="240" spans="1:24" hidden="1" x14ac:dyDescent="0.3">
      <c r="A240" s="2">
        <v>242</v>
      </c>
      <c r="B240" s="2" t="s">
        <v>1047</v>
      </c>
      <c r="C240" s="50" t="s">
        <v>1048</v>
      </c>
      <c r="D240" s="2" t="s">
        <v>119</v>
      </c>
      <c r="E240" s="2" t="s">
        <v>873</v>
      </c>
      <c r="F240" s="2" t="s">
        <v>121</v>
      </c>
      <c r="G240" s="2" t="s">
        <v>1044</v>
      </c>
      <c r="H240" s="3"/>
      <c r="I240" s="2" t="s">
        <v>1045</v>
      </c>
      <c r="J240" s="2" t="s">
        <v>143</v>
      </c>
      <c r="K240" s="2" t="s">
        <v>1049</v>
      </c>
      <c r="N240" s="2" t="s">
        <v>127</v>
      </c>
      <c r="O240" s="3">
        <v>37.47</v>
      </c>
      <c r="P240" s="3">
        <f t="array" ref="P24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37.47</v>
      </c>
      <c r="Q240" s="48">
        <v>46141</v>
      </c>
      <c r="R240" s="3" t="s">
        <v>878</v>
      </c>
      <c r="S240" s="3" t="s">
        <v>38</v>
      </c>
      <c r="T240" s="47">
        <v>46141</v>
      </c>
      <c r="U240" s="48">
        <v>46141</v>
      </c>
      <c r="V240" s="3" t="s">
        <v>878</v>
      </c>
      <c r="W240" s="3" t="s">
        <v>40</v>
      </c>
      <c r="X240" s="2" t="s">
        <v>37</v>
      </c>
    </row>
    <row r="241" spans="1:24" hidden="1" x14ac:dyDescent="0.3">
      <c r="A241" s="2">
        <v>243</v>
      </c>
      <c r="B241" s="2" t="s">
        <v>1050</v>
      </c>
      <c r="C241" s="50" t="s">
        <v>1051</v>
      </c>
      <c r="D241" s="2" t="s">
        <v>119</v>
      </c>
      <c r="E241" s="2" t="s">
        <v>873</v>
      </c>
      <c r="F241" s="2" t="s">
        <v>121</v>
      </c>
      <c r="G241" s="2" t="s">
        <v>1044</v>
      </c>
      <c r="H241" s="3"/>
      <c r="I241" s="2" t="s">
        <v>1045</v>
      </c>
      <c r="J241" s="2" t="s">
        <v>143</v>
      </c>
      <c r="K241" s="2" t="s">
        <v>1052</v>
      </c>
      <c r="N241" s="2" t="s">
        <v>127</v>
      </c>
      <c r="O241" s="3">
        <v>44.57</v>
      </c>
      <c r="P241" s="3">
        <f t="array" ref="P24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44.57</v>
      </c>
      <c r="Q241" s="48">
        <v>46141</v>
      </c>
      <c r="R241" s="3" t="s">
        <v>878</v>
      </c>
      <c r="S241" s="3" t="s">
        <v>38</v>
      </c>
      <c r="T241" s="47">
        <v>46141</v>
      </c>
      <c r="U241" s="48">
        <v>46141</v>
      </c>
      <c r="V241" s="3" t="s">
        <v>878</v>
      </c>
      <c r="W241" s="3" t="s">
        <v>40</v>
      </c>
      <c r="X241" s="2" t="s">
        <v>37</v>
      </c>
    </row>
    <row r="242" spans="1:24" hidden="1" x14ac:dyDescent="0.3">
      <c r="A242" s="2">
        <v>244</v>
      </c>
      <c r="B242" s="2" t="s">
        <v>1053</v>
      </c>
      <c r="C242" s="50" t="s">
        <v>1054</v>
      </c>
      <c r="D242" s="2" t="s">
        <v>119</v>
      </c>
      <c r="E242" s="2" t="s">
        <v>873</v>
      </c>
      <c r="F242" s="2" t="s">
        <v>121</v>
      </c>
      <c r="G242" s="2" t="s">
        <v>1044</v>
      </c>
      <c r="H242" s="3"/>
      <c r="I242" s="2" t="s">
        <v>1045</v>
      </c>
      <c r="J242" s="2" t="s">
        <v>143</v>
      </c>
      <c r="K242" s="2" t="s">
        <v>1055</v>
      </c>
      <c r="N242" s="2" t="s">
        <v>127</v>
      </c>
      <c r="O242" s="3">
        <v>60.094999999999999</v>
      </c>
      <c r="P242" s="3">
        <f t="array" ref="P24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60.094999999999999</v>
      </c>
      <c r="Q242" s="48">
        <v>46141</v>
      </c>
      <c r="R242" s="3" t="s">
        <v>878</v>
      </c>
      <c r="S242" s="3" t="s">
        <v>38</v>
      </c>
      <c r="T242" s="47">
        <v>46141</v>
      </c>
      <c r="U242" s="48">
        <v>46141</v>
      </c>
      <c r="V242" s="3" t="s">
        <v>878</v>
      </c>
      <c r="W242" s="3" t="s">
        <v>40</v>
      </c>
      <c r="X242" s="2" t="s">
        <v>37</v>
      </c>
    </row>
    <row r="243" spans="1:24" hidden="1" x14ac:dyDescent="0.3">
      <c r="A243" s="2">
        <v>245</v>
      </c>
      <c r="B243" s="2" t="s">
        <v>1056</v>
      </c>
      <c r="C243" s="50" t="s">
        <v>1057</v>
      </c>
      <c r="D243" s="2" t="s">
        <v>119</v>
      </c>
      <c r="E243" s="2" t="s">
        <v>120</v>
      </c>
      <c r="F243" s="2" t="s">
        <v>121</v>
      </c>
      <c r="G243" s="2" t="s">
        <v>782</v>
      </c>
      <c r="H243" s="3" t="s">
        <v>456</v>
      </c>
      <c r="I243" s="2" t="s">
        <v>1058</v>
      </c>
      <c r="J243" s="2" t="s">
        <v>143</v>
      </c>
      <c r="K243" s="2" t="s">
        <v>1059</v>
      </c>
      <c r="N243" s="2" t="s">
        <v>127</v>
      </c>
      <c r="O243" s="3">
        <v>17.25</v>
      </c>
      <c r="P243" s="3">
        <f t="array" ref="P24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15.000000000000002</v>
      </c>
      <c r="Q243" s="48">
        <v>46141</v>
      </c>
      <c r="R243" s="46" t="s">
        <v>397</v>
      </c>
      <c r="S243" s="46" t="s">
        <v>398</v>
      </c>
      <c r="T243" s="47">
        <v>46141</v>
      </c>
      <c r="U243" s="48">
        <v>46141</v>
      </c>
      <c r="V243" s="3"/>
      <c r="W243" s="3" t="s">
        <v>40</v>
      </c>
      <c r="X243" s="2" t="s">
        <v>37</v>
      </c>
    </row>
    <row r="244" spans="1:24" hidden="1" x14ac:dyDescent="0.3">
      <c r="A244" s="2">
        <v>246</v>
      </c>
      <c r="B244" s="2" t="s">
        <v>1060</v>
      </c>
      <c r="C244" s="50" t="s">
        <v>1061</v>
      </c>
      <c r="D244" s="2" t="s">
        <v>119</v>
      </c>
      <c r="E244" s="2" t="s">
        <v>1062</v>
      </c>
      <c r="F244" s="2" t="s">
        <v>121</v>
      </c>
      <c r="G244" s="2" t="s">
        <v>1062</v>
      </c>
      <c r="H244" s="3" t="s">
        <v>1063</v>
      </c>
      <c r="I244" s="2" t="s">
        <v>1064</v>
      </c>
      <c r="J244" s="2" t="s">
        <v>1065</v>
      </c>
      <c r="L244" t="s">
        <v>632</v>
      </c>
      <c r="N244" s="2" t="s">
        <v>127</v>
      </c>
      <c r="O244" s="3">
        <v>18</v>
      </c>
      <c r="P244" s="3">
        <f t="array" ref="P24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15.65217391304348</v>
      </c>
      <c r="Q244" s="48" t="s">
        <v>1066</v>
      </c>
      <c r="R244" s="46" t="s">
        <v>522</v>
      </c>
      <c r="S244" s="46" t="s">
        <v>398</v>
      </c>
      <c r="T244" s="47" t="s">
        <v>1066</v>
      </c>
      <c r="U244" s="48" t="s">
        <v>1066</v>
      </c>
      <c r="V244" s="3" t="s">
        <v>1067</v>
      </c>
      <c r="W244" s="3" t="s">
        <v>40</v>
      </c>
      <c r="X244" s="2" t="s">
        <v>37</v>
      </c>
    </row>
    <row r="245" spans="1:24" hidden="1" x14ac:dyDescent="0.3">
      <c r="A245" s="2">
        <v>247</v>
      </c>
      <c r="B245" s="2" t="s">
        <v>1068</v>
      </c>
      <c r="C245" s="50" t="s">
        <v>1069</v>
      </c>
      <c r="D245" s="2" t="s">
        <v>119</v>
      </c>
      <c r="E245" s="2" t="s">
        <v>1062</v>
      </c>
      <c r="F245" s="2" t="s">
        <v>121</v>
      </c>
      <c r="G245" s="2" t="s">
        <v>1062</v>
      </c>
      <c r="H245" s="3" t="s">
        <v>1063</v>
      </c>
      <c r="I245" s="2" t="s">
        <v>1064</v>
      </c>
      <c r="J245" s="2" t="s">
        <v>1065</v>
      </c>
      <c r="L245" t="s">
        <v>1070</v>
      </c>
      <c r="N245" s="2" t="s">
        <v>127</v>
      </c>
      <c r="O245" s="3">
        <v>17.8</v>
      </c>
      <c r="P245" s="3">
        <f t="array" ref="P24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15.478260869565219</v>
      </c>
      <c r="Q245" s="48" t="s">
        <v>1066</v>
      </c>
      <c r="R245" s="46" t="s">
        <v>522</v>
      </c>
      <c r="S245" s="46" t="s">
        <v>398</v>
      </c>
      <c r="T245" s="47" t="s">
        <v>1066</v>
      </c>
      <c r="U245" s="48" t="s">
        <v>1066</v>
      </c>
      <c r="V245" s="3" t="s">
        <v>1071</v>
      </c>
      <c r="W245" s="3" t="s">
        <v>40</v>
      </c>
      <c r="X245" s="2" t="s">
        <v>37</v>
      </c>
    </row>
    <row r="246" spans="1:24" hidden="1" x14ac:dyDescent="0.3">
      <c r="A246" s="2">
        <v>248</v>
      </c>
      <c r="B246" s="2" t="s">
        <v>1072</v>
      </c>
      <c r="C246" s="50" t="s">
        <v>1073</v>
      </c>
      <c r="D246" s="2" t="s">
        <v>119</v>
      </c>
      <c r="E246" s="2" t="s">
        <v>1062</v>
      </c>
      <c r="F246" s="2" t="s">
        <v>121</v>
      </c>
      <c r="G246" s="2" t="s">
        <v>1062</v>
      </c>
      <c r="H246" s="3" t="s">
        <v>1074</v>
      </c>
      <c r="I246" s="2" t="s">
        <v>1075</v>
      </c>
      <c r="J246" s="2" t="s">
        <v>1065</v>
      </c>
      <c r="L246" t="s">
        <v>1076</v>
      </c>
      <c r="N246" s="2" t="s">
        <v>127</v>
      </c>
      <c r="O246" s="3">
        <v>24</v>
      </c>
      <c r="P246" s="3">
        <f t="array" ref="P24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20.869565217391305</v>
      </c>
      <c r="Q246" s="48" t="s">
        <v>1066</v>
      </c>
      <c r="R246" s="46" t="s">
        <v>522</v>
      </c>
      <c r="S246" s="46" t="s">
        <v>398</v>
      </c>
      <c r="T246" s="47" t="s">
        <v>1066</v>
      </c>
      <c r="U246" s="48">
        <v>46148</v>
      </c>
      <c r="V246" s="3" t="s">
        <v>1077</v>
      </c>
      <c r="W246" s="3" t="s">
        <v>40</v>
      </c>
      <c r="X246" s="2" t="s">
        <v>37</v>
      </c>
    </row>
    <row r="247" spans="1:24" hidden="1" x14ac:dyDescent="0.3">
      <c r="A247" s="2">
        <v>249</v>
      </c>
      <c r="B247" s="2" t="s">
        <v>1078</v>
      </c>
      <c r="C247" s="50" t="s">
        <v>1079</v>
      </c>
      <c r="D247" s="2" t="s">
        <v>119</v>
      </c>
      <c r="E247" s="2" t="s">
        <v>1062</v>
      </c>
      <c r="F247" s="2" t="s">
        <v>121</v>
      </c>
      <c r="G247" s="2" t="s">
        <v>1062</v>
      </c>
      <c r="H247" s="3" t="s">
        <v>1063</v>
      </c>
      <c r="I247" s="2" t="s">
        <v>1080</v>
      </c>
      <c r="J247" s="2" t="s">
        <v>1065</v>
      </c>
      <c r="L247" t="s">
        <v>1081</v>
      </c>
      <c r="N247" s="2" t="s">
        <v>127</v>
      </c>
      <c r="O247" s="3">
        <v>24</v>
      </c>
      <c r="P247" s="3">
        <f t="array" ref="P24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20.869565217391305</v>
      </c>
      <c r="Q247" s="48" t="s">
        <v>1066</v>
      </c>
      <c r="R247" s="46" t="s">
        <v>522</v>
      </c>
      <c r="S247" s="46" t="s">
        <v>398</v>
      </c>
      <c r="T247" s="47" t="s">
        <v>1066</v>
      </c>
      <c r="U247" s="48" t="s">
        <v>1066</v>
      </c>
      <c r="V247" s="3" t="s">
        <v>1082</v>
      </c>
      <c r="W247" s="3" t="s">
        <v>40</v>
      </c>
      <c r="X247" s="2" t="s">
        <v>37</v>
      </c>
    </row>
    <row r="248" spans="1:24" hidden="1" x14ac:dyDescent="0.3">
      <c r="A248" s="2">
        <v>250</v>
      </c>
      <c r="B248" s="2" t="s">
        <v>1083</v>
      </c>
      <c r="C248" s="50" t="s">
        <v>1084</v>
      </c>
      <c r="D248" s="2" t="s">
        <v>119</v>
      </c>
      <c r="E248" s="2" t="s">
        <v>1062</v>
      </c>
      <c r="F248" s="2" t="s">
        <v>121</v>
      </c>
      <c r="G248" s="2" t="s">
        <v>1062</v>
      </c>
      <c r="H248" s="3" t="s">
        <v>1063</v>
      </c>
      <c r="I248" s="2" t="s">
        <v>1080</v>
      </c>
      <c r="J248" s="2" t="s">
        <v>1065</v>
      </c>
      <c r="L248" t="s">
        <v>1085</v>
      </c>
      <c r="N248" s="2" t="s">
        <v>127</v>
      </c>
      <c r="O248" s="3">
        <v>23.65</v>
      </c>
      <c r="P248" s="3">
        <f t="array" ref="P24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20.565217391304348</v>
      </c>
      <c r="Q248" s="48" t="s">
        <v>1066</v>
      </c>
      <c r="R248" s="46" t="s">
        <v>522</v>
      </c>
      <c r="S248" s="46" t="s">
        <v>398</v>
      </c>
      <c r="T248" s="47" t="s">
        <v>1066</v>
      </c>
      <c r="U248" s="48" t="s">
        <v>1066</v>
      </c>
      <c r="V248" s="3" t="s">
        <v>1086</v>
      </c>
      <c r="W248" s="3" t="s">
        <v>40</v>
      </c>
      <c r="X248" s="2" t="s">
        <v>37</v>
      </c>
    </row>
    <row r="249" spans="1:24" hidden="1" x14ac:dyDescent="0.3">
      <c r="A249" s="2">
        <v>251</v>
      </c>
      <c r="B249" s="2" t="s">
        <v>1087</v>
      </c>
      <c r="C249" s="50" t="s">
        <v>1088</v>
      </c>
      <c r="D249" s="2" t="s">
        <v>119</v>
      </c>
      <c r="E249" s="2" t="s">
        <v>1062</v>
      </c>
      <c r="F249" s="2" t="s">
        <v>121</v>
      </c>
      <c r="G249" s="2" t="s">
        <v>1062</v>
      </c>
      <c r="H249" s="3" t="s">
        <v>1063</v>
      </c>
      <c r="I249" s="2" t="s">
        <v>1089</v>
      </c>
      <c r="J249" s="2" t="s">
        <v>1065</v>
      </c>
      <c r="L249" t="s">
        <v>632</v>
      </c>
      <c r="N249" s="2" t="s">
        <v>127</v>
      </c>
      <c r="O249" s="3">
        <v>25</v>
      </c>
      <c r="P249" s="3">
        <f t="array" ref="P24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21.739130434782609</v>
      </c>
      <c r="Q249" s="48" t="s">
        <v>1066</v>
      </c>
      <c r="R249" s="46" t="s">
        <v>522</v>
      </c>
      <c r="S249" s="46" t="s">
        <v>398</v>
      </c>
      <c r="T249" s="47" t="s">
        <v>1066</v>
      </c>
      <c r="U249" s="48" t="s">
        <v>1066</v>
      </c>
      <c r="V249" s="3" t="s">
        <v>1090</v>
      </c>
      <c r="W249" s="3" t="s">
        <v>40</v>
      </c>
      <c r="X249" s="2" t="s">
        <v>37</v>
      </c>
    </row>
    <row r="250" spans="1:24" hidden="1" x14ac:dyDescent="0.3">
      <c r="A250" s="2">
        <v>252</v>
      </c>
      <c r="B250" s="2" t="s">
        <v>1091</v>
      </c>
      <c r="C250" s="50" t="s">
        <v>1092</v>
      </c>
      <c r="D250" s="2" t="s">
        <v>119</v>
      </c>
      <c r="E250" s="2" t="s">
        <v>1062</v>
      </c>
      <c r="F250" s="2" t="s">
        <v>121</v>
      </c>
      <c r="G250" s="2" t="s">
        <v>1062</v>
      </c>
      <c r="H250" s="3" t="s">
        <v>1063</v>
      </c>
      <c r="I250" s="2" t="s">
        <v>1089</v>
      </c>
      <c r="J250" s="2" t="s">
        <v>1093</v>
      </c>
      <c r="L250" t="s">
        <v>632</v>
      </c>
      <c r="N250" s="2" t="s">
        <v>127</v>
      </c>
      <c r="O250" s="3">
        <v>113.9</v>
      </c>
      <c r="P250" s="3">
        <f t="array" ref="P25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99.043478260869577</v>
      </c>
      <c r="Q250" s="48" t="s">
        <v>1066</v>
      </c>
      <c r="R250" s="46" t="s">
        <v>522</v>
      </c>
      <c r="S250" s="46" t="s">
        <v>398</v>
      </c>
      <c r="T250" s="47" t="s">
        <v>1066</v>
      </c>
      <c r="U250" s="48" t="s">
        <v>1066</v>
      </c>
      <c r="V250" s="3" t="s">
        <v>1094</v>
      </c>
      <c r="W250" s="3" t="s">
        <v>40</v>
      </c>
      <c r="X250" s="2" t="s">
        <v>37</v>
      </c>
    </row>
    <row r="251" spans="1:24" hidden="1" x14ac:dyDescent="0.3">
      <c r="A251" s="2">
        <v>253</v>
      </c>
      <c r="B251" s="2" t="s">
        <v>1095</v>
      </c>
      <c r="C251" s="50" t="s">
        <v>1096</v>
      </c>
      <c r="D251" s="2" t="s">
        <v>119</v>
      </c>
      <c r="E251" s="2" t="s">
        <v>1062</v>
      </c>
      <c r="F251" s="2" t="s">
        <v>121</v>
      </c>
      <c r="G251" s="2" t="s">
        <v>1062</v>
      </c>
      <c r="H251" s="3" t="s">
        <v>1063</v>
      </c>
      <c r="I251" s="2" t="s">
        <v>1097</v>
      </c>
      <c r="J251" s="2" t="s">
        <v>1065</v>
      </c>
      <c r="L251" t="s">
        <v>1098</v>
      </c>
      <c r="N251" s="2" t="s">
        <v>127</v>
      </c>
      <c r="O251" s="3">
        <v>22.5</v>
      </c>
      <c r="P251" s="3">
        <f t="array" ref="P25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19.565217391304348</v>
      </c>
      <c r="Q251" s="48" t="s">
        <v>1066</v>
      </c>
      <c r="R251" s="46" t="s">
        <v>522</v>
      </c>
      <c r="S251" s="46" t="s">
        <v>398</v>
      </c>
      <c r="T251" s="47" t="s">
        <v>1066</v>
      </c>
      <c r="U251" s="48" t="s">
        <v>1066</v>
      </c>
      <c r="V251" s="3" t="s">
        <v>1099</v>
      </c>
      <c r="W251" s="3" t="s">
        <v>40</v>
      </c>
      <c r="X251" s="2" t="s">
        <v>37</v>
      </c>
    </row>
    <row r="252" spans="1:24" hidden="1" x14ac:dyDescent="0.3">
      <c r="A252" s="2">
        <v>254</v>
      </c>
      <c r="B252" s="2" t="s">
        <v>1100</v>
      </c>
      <c r="C252" s="50" t="s">
        <v>1101</v>
      </c>
      <c r="D252" s="2" t="s">
        <v>119</v>
      </c>
      <c r="E252" s="2" t="s">
        <v>1062</v>
      </c>
      <c r="F252" s="2" t="s">
        <v>121</v>
      </c>
      <c r="G252" s="2" t="s">
        <v>1062</v>
      </c>
      <c r="H252" s="3" t="s">
        <v>1063</v>
      </c>
      <c r="I252" s="2" t="s">
        <v>1097</v>
      </c>
      <c r="J252" s="2" t="s">
        <v>1065</v>
      </c>
      <c r="L252" t="s">
        <v>1102</v>
      </c>
      <c r="N252" s="2" t="s">
        <v>127</v>
      </c>
      <c r="O252" s="3">
        <v>22.5</v>
      </c>
      <c r="P252" s="3">
        <f t="array" ref="P25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19.565217391304348</v>
      </c>
      <c r="Q252" s="48" t="s">
        <v>1066</v>
      </c>
      <c r="R252" s="46" t="s">
        <v>522</v>
      </c>
      <c r="S252" s="46" t="s">
        <v>398</v>
      </c>
      <c r="T252" s="47" t="s">
        <v>1066</v>
      </c>
      <c r="U252" s="48" t="s">
        <v>1066</v>
      </c>
      <c r="V252" s="3" t="s">
        <v>1103</v>
      </c>
      <c r="W252" s="3" t="s">
        <v>40</v>
      </c>
      <c r="X252" s="2" t="s">
        <v>37</v>
      </c>
    </row>
    <row r="253" spans="1:24" hidden="1" x14ac:dyDescent="0.3">
      <c r="A253" s="2">
        <v>255</v>
      </c>
      <c r="B253" s="2" t="s">
        <v>1104</v>
      </c>
      <c r="C253" s="50" t="s">
        <v>1105</v>
      </c>
      <c r="D253" s="2" t="s">
        <v>119</v>
      </c>
      <c r="E253" s="2" t="s">
        <v>1062</v>
      </c>
      <c r="F253" s="2" t="s">
        <v>121</v>
      </c>
      <c r="G253" s="2" t="s">
        <v>1106</v>
      </c>
      <c r="H253" s="3" t="s">
        <v>1063</v>
      </c>
      <c r="I253" s="2" t="s">
        <v>1107</v>
      </c>
      <c r="J253" s="2" t="s">
        <v>1065</v>
      </c>
      <c r="L253" t="s">
        <v>632</v>
      </c>
      <c r="N253" s="2" t="s">
        <v>127</v>
      </c>
      <c r="O253" s="3">
        <v>24.9</v>
      </c>
      <c r="P253" s="3">
        <f t="array" ref="P25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21.65217391304348</v>
      </c>
      <c r="Q253" s="48" t="s">
        <v>1066</v>
      </c>
      <c r="R253" s="46" t="s">
        <v>522</v>
      </c>
      <c r="S253" s="46" t="s">
        <v>398</v>
      </c>
      <c r="T253" s="47" t="s">
        <v>1066</v>
      </c>
      <c r="U253" s="48" t="s">
        <v>1066</v>
      </c>
      <c r="V253" s="3" t="s">
        <v>1108</v>
      </c>
      <c r="W253" s="3" t="s">
        <v>40</v>
      </c>
      <c r="X253" s="2" t="s">
        <v>37</v>
      </c>
    </row>
    <row r="254" spans="1:24" hidden="1" x14ac:dyDescent="0.3">
      <c r="A254" s="2">
        <v>256</v>
      </c>
      <c r="B254" s="2" t="s">
        <v>1109</v>
      </c>
      <c r="C254" s="50" t="s">
        <v>1110</v>
      </c>
      <c r="D254" s="2" t="s">
        <v>119</v>
      </c>
      <c r="E254" s="2" t="s">
        <v>1062</v>
      </c>
      <c r="F254" s="2" t="s">
        <v>121</v>
      </c>
      <c r="G254" s="2" t="s">
        <v>1111</v>
      </c>
      <c r="H254" s="3" t="s">
        <v>1063</v>
      </c>
      <c r="I254" s="2" t="s">
        <v>1112</v>
      </c>
      <c r="J254" s="2" t="s">
        <v>1065</v>
      </c>
      <c r="N254" s="2" t="s">
        <v>127</v>
      </c>
      <c r="O254" s="3">
        <v>12</v>
      </c>
      <c r="P254" s="3">
        <f t="array" ref="P25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10.434782608695652</v>
      </c>
      <c r="Q254" s="48" t="s">
        <v>1066</v>
      </c>
      <c r="R254" s="46" t="s">
        <v>522</v>
      </c>
      <c r="S254" s="46" t="s">
        <v>398</v>
      </c>
      <c r="T254" s="47" t="s">
        <v>1066</v>
      </c>
      <c r="U254" s="48" t="s">
        <v>1066</v>
      </c>
      <c r="V254" s="3" t="s">
        <v>1113</v>
      </c>
      <c r="W254" s="3" t="s">
        <v>40</v>
      </c>
      <c r="X254" s="2" t="s">
        <v>37</v>
      </c>
    </row>
    <row r="255" spans="1:24" hidden="1" x14ac:dyDescent="0.3">
      <c r="A255" s="2">
        <v>257</v>
      </c>
      <c r="B255" s="2" t="s">
        <v>1114</v>
      </c>
      <c r="C255" s="50" t="s">
        <v>1115</v>
      </c>
      <c r="D255" s="2" t="s">
        <v>119</v>
      </c>
      <c r="E255" s="2" t="s">
        <v>1062</v>
      </c>
      <c r="F255" s="2" t="s">
        <v>121</v>
      </c>
      <c r="G255" s="2" t="s">
        <v>1116</v>
      </c>
      <c r="H255" s="3" t="s">
        <v>1063</v>
      </c>
      <c r="I255" s="2" t="s">
        <v>1117</v>
      </c>
      <c r="J255" s="2" t="s">
        <v>1065</v>
      </c>
      <c r="N255" s="2" t="s">
        <v>127</v>
      </c>
      <c r="O255" s="3">
        <v>18</v>
      </c>
      <c r="P255" s="3">
        <f t="array" ref="P25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15.65217391304348</v>
      </c>
      <c r="Q255" s="48" t="s">
        <v>1066</v>
      </c>
      <c r="R255" s="46" t="s">
        <v>522</v>
      </c>
      <c r="S255" s="46" t="s">
        <v>398</v>
      </c>
      <c r="T255" s="47" t="s">
        <v>1066</v>
      </c>
      <c r="U255" s="48" t="s">
        <v>1066</v>
      </c>
      <c r="V255" s="3" t="s">
        <v>1118</v>
      </c>
      <c r="W255" s="3" t="s">
        <v>40</v>
      </c>
      <c r="X255" s="2" t="s">
        <v>37</v>
      </c>
    </row>
    <row r="256" spans="1:24" hidden="1" x14ac:dyDescent="0.3">
      <c r="A256" s="44">
        <v>258</v>
      </c>
      <c r="B256" s="44" t="s">
        <v>1119</v>
      </c>
      <c r="C256" s="49" t="s">
        <v>1120</v>
      </c>
      <c r="D256" s="44" t="s">
        <v>119</v>
      </c>
      <c r="E256" s="44" t="s">
        <v>873</v>
      </c>
      <c r="F256" s="44" t="s">
        <v>121</v>
      </c>
      <c r="G256" s="44" t="s">
        <v>1121</v>
      </c>
      <c r="H256" s="46"/>
      <c r="I256" s="44" t="s">
        <v>1122</v>
      </c>
      <c r="J256" s="44" t="s">
        <v>876</v>
      </c>
      <c r="K256" s="51" t="s">
        <v>1123</v>
      </c>
      <c r="L256" s="51"/>
      <c r="M256" s="51"/>
      <c r="N256" s="44" t="s">
        <v>876</v>
      </c>
      <c r="O256" s="46">
        <v>124.7533</v>
      </c>
      <c r="P256" s="46">
        <f t="array" ref="P256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124.7533</v>
      </c>
      <c r="Q256" s="48">
        <v>46003</v>
      </c>
      <c r="R256" s="46" t="s">
        <v>1124</v>
      </c>
      <c r="S256" s="46" t="s">
        <v>38</v>
      </c>
      <c r="T256" s="48">
        <v>46147.51588013889</v>
      </c>
      <c r="U256" s="48">
        <v>46147.597148263892</v>
      </c>
      <c r="V256" s="46"/>
      <c r="W256" s="46" t="s">
        <v>40</v>
      </c>
      <c r="X256" s="44" t="s">
        <v>37</v>
      </c>
    </row>
    <row r="257" spans="1:24" hidden="1" x14ac:dyDescent="0.3">
      <c r="A257" s="44">
        <v>259</v>
      </c>
      <c r="B257" s="44" t="s">
        <v>1125</v>
      </c>
      <c r="C257" s="49" t="s">
        <v>1126</v>
      </c>
      <c r="D257" s="44" t="s">
        <v>119</v>
      </c>
      <c r="E257" s="44" t="s">
        <v>873</v>
      </c>
      <c r="F257" s="44" t="s">
        <v>121</v>
      </c>
      <c r="G257" s="44" t="s">
        <v>1127</v>
      </c>
      <c r="H257" s="46"/>
      <c r="I257" s="44" t="s">
        <v>1128</v>
      </c>
      <c r="J257" s="44" t="s">
        <v>1065</v>
      </c>
      <c r="K257" s="51"/>
      <c r="L257" s="51"/>
      <c r="M257" s="51"/>
      <c r="N257" s="44" t="s">
        <v>1129</v>
      </c>
      <c r="O257" s="46">
        <v>1.3049999999999999</v>
      </c>
      <c r="P257" s="46">
        <f t="array" ref="P257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1.3049999999999999</v>
      </c>
      <c r="Q257" s="48">
        <v>44714</v>
      </c>
      <c r="R257" s="46" t="s">
        <v>1130</v>
      </c>
      <c r="S257" s="46" t="s">
        <v>38</v>
      </c>
      <c r="T257" s="48">
        <v>46147.51588013889</v>
      </c>
      <c r="U257" s="48">
        <v>46147.51588013889</v>
      </c>
      <c r="V257" s="46"/>
      <c r="W257" s="46" t="s">
        <v>40</v>
      </c>
      <c r="X257" s="44" t="s">
        <v>37</v>
      </c>
    </row>
    <row r="258" spans="1:24" hidden="1" x14ac:dyDescent="0.3">
      <c r="A258" s="44">
        <v>260</v>
      </c>
      <c r="B258" s="44" t="s">
        <v>1131</v>
      </c>
      <c r="C258" s="49" t="s">
        <v>1132</v>
      </c>
      <c r="D258" s="44" t="s">
        <v>88</v>
      </c>
      <c r="E258" s="44" t="s">
        <v>32</v>
      </c>
      <c r="F258" s="44" t="s">
        <v>88</v>
      </c>
      <c r="G258" s="44" t="s">
        <v>1133</v>
      </c>
      <c r="H258" s="46"/>
      <c r="I258" s="44" t="s">
        <v>1134</v>
      </c>
      <c r="J258" s="44" t="s">
        <v>1135</v>
      </c>
      <c r="K258" s="51"/>
      <c r="L258" s="51"/>
      <c r="M258" s="51"/>
      <c r="N258" s="44" t="s">
        <v>1135</v>
      </c>
      <c r="O258" s="46">
        <v>39.368000000000002</v>
      </c>
      <c r="P258" s="46">
        <f t="array" ref="P258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39.368000000000002</v>
      </c>
      <c r="Q258" s="48">
        <v>44714</v>
      </c>
      <c r="R258" s="46" t="s">
        <v>1130</v>
      </c>
      <c r="S258" s="46" t="s">
        <v>38</v>
      </c>
      <c r="T258" s="48">
        <v>46147.51588013889</v>
      </c>
      <c r="U258" s="48">
        <v>46147.51588013889</v>
      </c>
      <c r="V258" s="46"/>
      <c r="W258" s="46" t="s">
        <v>40</v>
      </c>
      <c r="X258" s="44" t="s">
        <v>37</v>
      </c>
    </row>
    <row r="259" spans="1:24" hidden="1" x14ac:dyDescent="0.3">
      <c r="A259" s="44">
        <v>261</v>
      </c>
      <c r="B259" s="44" t="s">
        <v>1136</v>
      </c>
      <c r="C259" s="49" t="s">
        <v>1137</v>
      </c>
      <c r="D259" s="44" t="s">
        <v>88</v>
      </c>
      <c r="E259" s="44" t="s">
        <v>32</v>
      </c>
      <c r="F259" s="44" t="s">
        <v>88</v>
      </c>
      <c r="G259" s="44" t="s">
        <v>1138</v>
      </c>
      <c r="H259" s="46"/>
      <c r="I259" s="44" t="s">
        <v>1139</v>
      </c>
      <c r="J259" s="44" t="s">
        <v>1135</v>
      </c>
      <c r="K259" s="51"/>
      <c r="L259" s="51"/>
      <c r="M259" s="51"/>
      <c r="N259" s="44" t="s">
        <v>1135</v>
      </c>
      <c r="O259" s="46">
        <v>27.777999999999999</v>
      </c>
      <c r="P259" s="46">
        <f t="array" ref="P259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27.777999999999999</v>
      </c>
      <c r="Q259" s="48">
        <v>44714</v>
      </c>
      <c r="R259" s="46" t="s">
        <v>1130</v>
      </c>
      <c r="S259" s="46" t="s">
        <v>38</v>
      </c>
      <c r="T259" s="48">
        <v>46147.51588013889</v>
      </c>
      <c r="U259" s="48">
        <v>46147.51588013889</v>
      </c>
      <c r="V259" s="46"/>
      <c r="W259" s="46" t="s">
        <v>40</v>
      </c>
      <c r="X259" s="44" t="s">
        <v>37</v>
      </c>
    </row>
    <row r="260" spans="1:24" hidden="1" x14ac:dyDescent="0.3">
      <c r="A260" s="44">
        <v>262</v>
      </c>
      <c r="B260" s="44" t="s">
        <v>1140</v>
      </c>
      <c r="C260" s="49" t="s">
        <v>1141</v>
      </c>
      <c r="D260" s="44" t="s">
        <v>88</v>
      </c>
      <c r="E260" s="44" t="s">
        <v>32</v>
      </c>
      <c r="F260" s="44" t="s">
        <v>88</v>
      </c>
      <c r="G260" s="44" t="s">
        <v>1142</v>
      </c>
      <c r="H260" s="46"/>
      <c r="I260" s="44" t="s">
        <v>1143</v>
      </c>
      <c r="J260" s="44" t="s">
        <v>1135</v>
      </c>
      <c r="K260" s="51"/>
      <c r="L260" s="51"/>
      <c r="M260" s="51"/>
      <c r="N260" s="44" t="s">
        <v>1135</v>
      </c>
      <c r="O260" s="46">
        <v>18</v>
      </c>
      <c r="P260" s="46">
        <f t="array" ref="P260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18</v>
      </c>
      <c r="Q260" s="48">
        <v>44714</v>
      </c>
      <c r="R260" s="46" t="s">
        <v>1130</v>
      </c>
      <c r="S260" s="46" t="s">
        <v>38</v>
      </c>
      <c r="T260" s="48">
        <v>46147.51588013889</v>
      </c>
      <c r="U260" s="48">
        <v>46147.51588013889</v>
      </c>
      <c r="V260" s="46"/>
      <c r="W260" s="46" t="s">
        <v>40</v>
      </c>
      <c r="X260" s="44" t="s">
        <v>37</v>
      </c>
    </row>
    <row r="261" spans="1:24" hidden="1" x14ac:dyDescent="0.3">
      <c r="A261" s="44">
        <v>263</v>
      </c>
      <c r="B261" s="44" t="s">
        <v>1144</v>
      </c>
      <c r="C261" s="49" t="s">
        <v>1145</v>
      </c>
      <c r="D261" s="44" t="s">
        <v>916</v>
      </c>
      <c r="E261" s="44" t="s">
        <v>873</v>
      </c>
      <c r="F261" s="44" t="s">
        <v>121</v>
      </c>
      <c r="G261" s="44" t="s">
        <v>1146</v>
      </c>
      <c r="H261" s="46"/>
      <c r="I261" s="44" t="s">
        <v>1146</v>
      </c>
      <c r="J261" s="44" t="s">
        <v>876</v>
      </c>
      <c r="K261" s="51"/>
      <c r="L261" s="51"/>
      <c r="M261" s="51"/>
      <c r="N261" s="44" t="s">
        <v>876</v>
      </c>
      <c r="O261" s="46">
        <v>10</v>
      </c>
      <c r="P261" s="46">
        <f t="array" ref="P261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10</v>
      </c>
      <c r="Q261" s="48">
        <v>44714</v>
      </c>
      <c r="R261" s="46" t="s">
        <v>1130</v>
      </c>
      <c r="S261" s="46" t="s">
        <v>38</v>
      </c>
      <c r="T261" s="48">
        <v>46147.51588013889</v>
      </c>
      <c r="U261" s="48">
        <v>46147.597148263892</v>
      </c>
      <c r="V261" s="46"/>
      <c r="W261" s="46" t="s">
        <v>40</v>
      </c>
      <c r="X261" s="44" t="s">
        <v>37</v>
      </c>
    </row>
    <row r="262" spans="1:24" hidden="1" x14ac:dyDescent="0.3">
      <c r="A262" s="44">
        <v>264</v>
      </c>
      <c r="B262" s="44" t="s">
        <v>1147</v>
      </c>
      <c r="C262" s="49" t="s">
        <v>1148</v>
      </c>
      <c r="D262" s="44" t="s">
        <v>119</v>
      </c>
      <c r="E262" s="44" t="s">
        <v>873</v>
      </c>
      <c r="F262" s="44" t="s">
        <v>121</v>
      </c>
      <c r="G262" s="44" t="s">
        <v>1149</v>
      </c>
      <c r="H262" s="46"/>
      <c r="I262" s="44" t="s">
        <v>893</v>
      </c>
      <c r="J262" s="44" t="s">
        <v>1150</v>
      </c>
      <c r="K262" s="51" t="s">
        <v>1151</v>
      </c>
      <c r="L262" s="51"/>
      <c r="M262" s="51"/>
      <c r="N262" s="44" t="s">
        <v>1150</v>
      </c>
      <c r="O262" s="46">
        <v>52.18</v>
      </c>
      <c r="P262" s="46">
        <f t="array" ref="P262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52.18</v>
      </c>
      <c r="Q262" s="48">
        <v>46147.602293738433</v>
      </c>
      <c r="R262" s="46" t="s">
        <v>1152</v>
      </c>
      <c r="S262" s="46" t="s">
        <v>38</v>
      </c>
      <c r="T262" s="48">
        <v>46147.602293738433</v>
      </c>
      <c r="U262" s="48">
        <v>46147.602293738433</v>
      </c>
      <c r="V262" s="46"/>
      <c r="W262" s="46" t="s">
        <v>40</v>
      </c>
      <c r="X262" s="44" t="s">
        <v>37</v>
      </c>
    </row>
    <row r="263" spans="1:24" hidden="1" x14ac:dyDescent="0.3">
      <c r="A263" s="44">
        <v>265</v>
      </c>
      <c r="B263" s="44" t="s">
        <v>1153</v>
      </c>
      <c r="C263" s="49" t="s">
        <v>1154</v>
      </c>
      <c r="D263" s="44" t="s">
        <v>916</v>
      </c>
      <c r="E263" s="44" t="s">
        <v>873</v>
      </c>
      <c r="F263" s="44" t="s">
        <v>121</v>
      </c>
      <c r="G263" s="44" t="s">
        <v>916</v>
      </c>
      <c r="H263" s="46"/>
      <c r="I263" s="44" t="s">
        <v>1149</v>
      </c>
      <c r="J263" s="44" t="s">
        <v>1150</v>
      </c>
      <c r="K263" s="51" t="s">
        <v>1151</v>
      </c>
      <c r="L263" s="51"/>
      <c r="M263" s="51"/>
      <c r="N263" s="44" t="s">
        <v>1150</v>
      </c>
      <c r="O263" s="46">
        <v>5</v>
      </c>
      <c r="P263" s="46">
        <f t="array" ref="P263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5</v>
      </c>
      <c r="Q263" s="48">
        <v>46147.602293738433</v>
      </c>
      <c r="R263" s="46" t="s">
        <v>1152</v>
      </c>
      <c r="S263" s="46" t="s">
        <v>38</v>
      </c>
      <c r="T263" s="48">
        <v>46147.602293738433</v>
      </c>
      <c r="U263" s="48">
        <v>46147.602293738433</v>
      </c>
      <c r="V263" s="46"/>
      <c r="W263" s="46" t="s">
        <v>40</v>
      </c>
      <c r="X263" s="44" t="s">
        <v>37</v>
      </c>
    </row>
    <row r="264" spans="1:24" hidden="1" x14ac:dyDescent="0.3">
      <c r="A264" s="2">
        <v>266</v>
      </c>
      <c r="B264" s="2" t="s">
        <v>1155</v>
      </c>
      <c r="C264" s="50" t="s">
        <v>1156</v>
      </c>
      <c r="D264" s="2" t="s">
        <v>119</v>
      </c>
      <c r="E264" s="2" t="s">
        <v>873</v>
      </c>
      <c r="F264" s="2" t="s">
        <v>121</v>
      </c>
      <c r="G264" s="2" t="s">
        <v>906</v>
      </c>
      <c r="H264" s="3"/>
      <c r="I264" s="2" t="s">
        <v>1157</v>
      </c>
      <c r="J264" s="2" t="s">
        <v>876</v>
      </c>
      <c r="N264" s="2" t="s">
        <v>876</v>
      </c>
      <c r="O264" s="3">
        <v>13.14</v>
      </c>
      <c r="P264" s="3">
        <f t="shared" ref="P264:P295" si="0">IF(S264="No Incluye",O264,IF(S264="Incluye",O264/1.15,IF(S264="No Define",O264,"")))</f>
        <v>13.14</v>
      </c>
      <c r="Q264" s="47">
        <v>46147</v>
      </c>
      <c r="R264" s="3" t="s">
        <v>1158</v>
      </c>
      <c r="S264" s="3" t="s">
        <v>38</v>
      </c>
      <c r="T264" s="47">
        <v>46147.640853831021</v>
      </c>
      <c r="U264" s="47">
        <v>46147.640853831021</v>
      </c>
      <c r="V264" s="3" t="s">
        <v>1159</v>
      </c>
      <c r="W264" s="3" t="s">
        <v>40</v>
      </c>
      <c r="X264" s="2" t="s">
        <v>37</v>
      </c>
    </row>
    <row r="265" spans="1:24" hidden="1" x14ac:dyDescent="0.3">
      <c r="A265" s="2">
        <v>267</v>
      </c>
      <c r="B265" s="2" t="s">
        <v>1160</v>
      </c>
      <c r="C265" s="50" t="s">
        <v>1161</v>
      </c>
      <c r="D265" s="2" t="s">
        <v>916</v>
      </c>
      <c r="E265" s="2" t="s">
        <v>873</v>
      </c>
      <c r="F265" s="2" t="s">
        <v>121</v>
      </c>
      <c r="G265" s="2" t="s">
        <v>906</v>
      </c>
      <c r="H265" s="3"/>
      <c r="I265" s="2" t="s">
        <v>1162</v>
      </c>
      <c r="J265" s="2" t="s">
        <v>909</v>
      </c>
      <c r="N265" s="2" t="s">
        <v>909</v>
      </c>
      <c r="O265" s="3">
        <v>1.56</v>
      </c>
      <c r="P265" s="3">
        <f t="shared" si="0"/>
        <v>1.56</v>
      </c>
      <c r="Q265" s="47">
        <v>46147</v>
      </c>
      <c r="R265" s="3" t="s">
        <v>1163</v>
      </c>
      <c r="S265" s="3" t="s">
        <v>38</v>
      </c>
      <c r="T265" s="47">
        <v>46147.640853831021</v>
      </c>
      <c r="U265" s="47">
        <v>46147.640853831021</v>
      </c>
      <c r="V265" s="3" t="s">
        <v>1164</v>
      </c>
      <c r="W265" s="3" t="s">
        <v>40</v>
      </c>
      <c r="X265" s="2" t="s">
        <v>37</v>
      </c>
    </row>
    <row r="266" spans="1:24" hidden="1" x14ac:dyDescent="0.3">
      <c r="A266" s="2">
        <v>268</v>
      </c>
      <c r="B266" s="2" t="s">
        <v>1165</v>
      </c>
      <c r="C266" s="50" t="s">
        <v>1166</v>
      </c>
      <c r="D266" s="2" t="s">
        <v>88</v>
      </c>
      <c r="E266" s="2" t="s">
        <v>32</v>
      </c>
      <c r="F266" s="2" t="s">
        <v>88</v>
      </c>
      <c r="G266" s="2" t="s">
        <v>1167</v>
      </c>
      <c r="H266" s="3"/>
      <c r="I266" s="2" t="s">
        <v>1168</v>
      </c>
      <c r="J266" s="2" t="s">
        <v>1135</v>
      </c>
      <c r="K266" s="2" t="s">
        <v>1168</v>
      </c>
      <c r="N266" s="2" t="s">
        <v>1135</v>
      </c>
      <c r="O266" s="3">
        <v>35</v>
      </c>
      <c r="P266" s="3">
        <f t="shared" si="0"/>
        <v>35</v>
      </c>
      <c r="Q266" s="47">
        <v>46147</v>
      </c>
      <c r="R266" s="3" t="s">
        <v>1169</v>
      </c>
      <c r="S266" s="3" t="s">
        <v>38</v>
      </c>
      <c r="T266" s="47">
        <v>46147.640853831021</v>
      </c>
      <c r="U266" s="47">
        <v>46147.640853831021</v>
      </c>
      <c r="V266" s="3" t="s">
        <v>1170</v>
      </c>
      <c r="W266" s="3" t="s">
        <v>40</v>
      </c>
      <c r="X266" s="2" t="s">
        <v>37</v>
      </c>
    </row>
    <row r="267" spans="1:24" hidden="1" x14ac:dyDescent="0.3">
      <c r="A267" s="2">
        <v>269</v>
      </c>
      <c r="B267" s="2" t="s">
        <v>1171</v>
      </c>
      <c r="C267" s="50" t="s">
        <v>1172</v>
      </c>
      <c r="D267" s="2" t="s">
        <v>119</v>
      </c>
      <c r="E267" s="2" t="s">
        <v>1173</v>
      </c>
      <c r="F267" s="2" t="s">
        <v>121</v>
      </c>
      <c r="G267" s="2" t="s">
        <v>1106</v>
      </c>
      <c r="H267" s="3" t="s">
        <v>1174</v>
      </c>
      <c r="I267" s="2" t="s">
        <v>1175</v>
      </c>
      <c r="J267" s="2" t="s">
        <v>1176</v>
      </c>
      <c r="M267" s="2" t="s">
        <v>1177</v>
      </c>
      <c r="N267" s="2" t="s">
        <v>127</v>
      </c>
      <c r="O267" s="3">
        <v>22.6</v>
      </c>
      <c r="P267" s="3">
        <f t="shared" si="0"/>
        <v>22.6</v>
      </c>
      <c r="Q267" s="47">
        <v>46147</v>
      </c>
      <c r="R267" s="3" t="s">
        <v>1178</v>
      </c>
      <c r="S267" s="3" t="s">
        <v>38</v>
      </c>
      <c r="T267" s="47">
        <v>46147.640853831021</v>
      </c>
      <c r="U267" s="47">
        <v>46147.640853831021</v>
      </c>
      <c r="V267" s="3" t="s">
        <v>1179</v>
      </c>
      <c r="W267" s="3" t="s">
        <v>40</v>
      </c>
      <c r="X267" s="2" t="s">
        <v>37</v>
      </c>
    </row>
    <row r="268" spans="1:24" hidden="1" x14ac:dyDescent="0.3">
      <c r="A268" s="2">
        <v>270</v>
      </c>
      <c r="B268" s="2" t="s">
        <v>1180</v>
      </c>
      <c r="C268" s="50" t="s">
        <v>1181</v>
      </c>
      <c r="D268" s="2" t="s">
        <v>119</v>
      </c>
      <c r="E268" s="2" t="s">
        <v>1173</v>
      </c>
      <c r="F268" s="2" t="s">
        <v>121</v>
      </c>
      <c r="G268" s="2" t="s">
        <v>1182</v>
      </c>
      <c r="H268" s="3" t="s">
        <v>1174</v>
      </c>
      <c r="I268" s="2" t="s">
        <v>1183</v>
      </c>
      <c r="J268" s="2" t="s">
        <v>1176</v>
      </c>
      <c r="M268" s="2" t="s">
        <v>1177</v>
      </c>
      <c r="N268" s="2" t="s">
        <v>127</v>
      </c>
      <c r="O268" s="3">
        <v>23.46</v>
      </c>
      <c r="P268" s="3">
        <f t="shared" si="0"/>
        <v>20.400000000000002</v>
      </c>
      <c r="Q268" s="47">
        <v>46147</v>
      </c>
      <c r="R268" s="3" t="s">
        <v>1184</v>
      </c>
      <c r="S268" s="3" t="s">
        <v>398</v>
      </c>
      <c r="T268" s="47">
        <v>46147.640853831021</v>
      </c>
      <c r="U268" s="47">
        <v>46147.640853831021</v>
      </c>
      <c r="V268" s="3" t="s">
        <v>1185</v>
      </c>
      <c r="W268" s="3" t="s">
        <v>40</v>
      </c>
      <c r="X268" s="2" t="s">
        <v>37</v>
      </c>
    </row>
    <row r="269" spans="1:24" hidden="1" x14ac:dyDescent="0.3">
      <c r="A269" s="2">
        <v>271</v>
      </c>
      <c r="B269" s="2" t="s">
        <v>1186</v>
      </c>
      <c r="C269" s="50" t="s">
        <v>1187</v>
      </c>
      <c r="D269" s="2" t="s">
        <v>119</v>
      </c>
      <c r="E269" s="2" t="s">
        <v>873</v>
      </c>
      <c r="F269" s="2" t="s">
        <v>121</v>
      </c>
      <c r="G269" s="2" t="s">
        <v>1188</v>
      </c>
      <c r="H269" s="3"/>
      <c r="I269" s="2" t="s">
        <v>1189</v>
      </c>
      <c r="J269" s="2" t="s">
        <v>1150</v>
      </c>
      <c r="K269" s="2" t="s">
        <v>1190</v>
      </c>
      <c r="N269" s="2" t="s">
        <v>1150</v>
      </c>
      <c r="O269" s="3">
        <v>12.6</v>
      </c>
      <c r="P269" s="3">
        <f t="shared" si="0"/>
        <v>12.6</v>
      </c>
      <c r="Q269" s="47">
        <v>46147</v>
      </c>
      <c r="R269" s="3" t="s">
        <v>1191</v>
      </c>
      <c r="S269" s="3" t="s">
        <v>38</v>
      </c>
      <c r="T269" s="47">
        <v>46147.657196793982</v>
      </c>
      <c r="U269" s="47">
        <v>46147.657196793982</v>
      </c>
      <c r="V269" s="3" t="s">
        <v>1192</v>
      </c>
      <c r="W269" s="3" t="s">
        <v>40</v>
      </c>
      <c r="X269" s="2" t="s">
        <v>37</v>
      </c>
    </row>
    <row r="270" spans="1:24" x14ac:dyDescent="0.3">
      <c r="A270" s="2">
        <v>272</v>
      </c>
      <c r="B270" s="2" t="s">
        <v>1193</v>
      </c>
      <c r="C270" s="50" t="s">
        <v>1194</v>
      </c>
      <c r="D270" s="2" t="s">
        <v>119</v>
      </c>
      <c r="E270" s="2" t="s">
        <v>873</v>
      </c>
      <c r="F270" s="2" t="s">
        <v>1195</v>
      </c>
      <c r="G270" s="2" t="s">
        <v>1195</v>
      </c>
      <c r="H270" s="3" t="s">
        <v>1196</v>
      </c>
      <c r="I270" s="2" t="s">
        <v>1197</v>
      </c>
      <c r="J270" s="2" t="s">
        <v>851</v>
      </c>
      <c r="N270" s="2" t="s">
        <v>127</v>
      </c>
      <c r="O270" s="3">
        <v>4.0999999999999996</v>
      </c>
      <c r="P270" s="3">
        <f t="shared" si="0"/>
        <v>3.5652173913043477</v>
      </c>
      <c r="Q270" s="47">
        <v>46147</v>
      </c>
      <c r="R270" s="3" t="s">
        <v>1184</v>
      </c>
      <c r="S270" s="3" t="s">
        <v>398</v>
      </c>
      <c r="T270" s="47">
        <v>46147.657196793982</v>
      </c>
      <c r="U270" s="47">
        <v>46147.657196793982</v>
      </c>
      <c r="V270" s="3" t="s">
        <v>1198</v>
      </c>
      <c r="W270" s="3" t="s">
        <v>40</v>
      </c>
      <c r="X270" s="2" t="s">
        <v>37</v>
      </c>
    </row>
    <row r="271" spans="1:24" hidden="1" x14ac:dyDescent="0.3">
      <c r="A271" s="2">
        <v>273</v>
      </c>
      <c r="B271" s="2" t="s">
        <v>1199</v>
      </c>
      <c r="C271" s="50" t="s">
        <v>1200</v>
      </c>
      <c r="D271" s="2" t="s">
        <v>119</v>
      </c>
      <c r="E271" s="2" t="s">
        <v>470</v>
      </c>
      <c r="F271" s="2" t="s">
        <v>121</v>
      </c>
      <c r="G271" s="2" t="s">
        <v>714</v>
      </c>
      <c r="H271" s="3"/>
      <c r="I271" s="2" t="s">
        <v>1200</v>
      </c>
      <c r="J271" s="2" t="s">
        <v>127</v>
      </c>
      <c r="N271" s="2" t="s">
        <v>127</v>
      </c>
      <c r="O271" s="3">
        <v>133</v>
      </c>
      <c r="P271" s="3">
        <f t="shared" si="0"/>
        <v>133</v>
      </c>
      <c r="Q271" s="47">
        <v>46147</v>
      </c>
      <c r="R271" s="3" t="s">
        <v>1201</v>
      </c>
      <c r="S271" s="3" t="s">
        <v>353</v>
      </c>
      <c r="T271" s="47">
        <v>46147</v>
      </c>
      <c r="U271" s="47">
        <v>46147</v>
      </c>
      <c r="V271" s="3" t="s">
        <v>1202</v>
      </c>
      <c r="W271" s="3" t="s">
        <v>40</v>
      </c>
      <c r="X271" s="2" t="s">
        <v>37</v>
      </c>
    </row>
    <row r="272" spans="1:24" hidden="1" x14ac:dyDescent="0.3">
      <c r="A272" s="2">
        <v>274</v>
      </c>
      <c r="B272" s="2" t="s">
        <v>1203</v>
      </c>
      <c r="C272" s="50" t="s">
        <v>1204</v>
      </c>
      <c r="D272" s="2" t="s">
        <v>119</v>
      </c>
      <c r="E272" s="2" t="s">
        <v>470</v>
      </c>
      <c r="F272" s="2" t="s">
        <v>121</v>
      </c>
      <c r="G272" s="2" t="s">
        <v>603</v>
      </c>
      <c r="H272" s="3"/>
      <c r="I272" s="2" t="s">
        <v>1204</v>
      </c>
      <c r="J272" s="2" t="s">
        <v>127</v>
      </c>
      <c r="N272" s="2" t="s">
        <v>127</v>
      </c>
      <c r="O272" s="3">
        <v>1.54</v>
      </c>
      <c r="P272" s="3">
        <f t="shared" si="0"/>
        <v>1.54</v>
      </c>
      <c r="Q272" s="47">
        <v>46147</v>
      </c>
      <c r="R272" s="3" t="s">
        <v>1201</v>
      </c>
      <c r="S272" s="3" t="s">
        <v>353</v>
      </c>
      <c r="T272" s="47">
        <v>46147</v>
      </c>
      <c r="U272" s="47">
        <v>46147</v>
      </c>
      <c r="V272" s="3" t="s">
        <v>1205</v>
      </c>
      <c r="W272" s="3" t="s">
        <v>40</v>
      </c>
      <c r="X272" s="2" t="s">
        <v>37</v>
      </c>
    </row>
    <row r="273" spans="1:24" hidden="1" x14ac:dyDescent="0.3">
      <c r="A273" s="2">
        <v>275</v>
      </c>
      <c r="B273" s="2" t="s">
        <v>1206</v>
      </c>
      <c r="C273" s="50" t="s">
        <v>1207</v>
      </c>
      <c r="D273" s="2" t="s">
        <v>119</v>
      </c>
      <c r="E273" s="2" t="s">
        <v>470</v>
      </c>
      <c r="F273" s="2" t="s">
        <v>121</v>
      </c>
      <c r="G273" s="2" t="s">
        <v>603</v>
      </c>
      <c r="H273" s="3"/>
      <c r="I273" s="2" t="s">
        <v>1207</v>
      </c>
      <c r="J273" s="2" t="s">
        <v>127</v>
      </c>
      <c r="K273" s="2" t="s">
        <v>1208</v>
      </c>
      <c r="N273" s="2" t="s">
        <v>127</v>
      </c>
      <c r="O273" s="3">
        <v>1.18</v>
      </c>
      <c r="P273" s="3">
        <f t="shared" si="0"/>
        <v>1.18</v>
      </c>
      <c r="Q273" s="47">
        <v>46147</v>
      </c>
      <c r="R273" s="3" t="s">
        <v>1201</v>
      </c>
      <c r="S273" s="3" t="s">
        <v>353</v>
      </c>
      <c r="T273" s="47">
        <v>46147</v>
      </c>
      <c r="U273" s="47">
        <v>46147</v>
      </c>
      <c r="V273" s="3" t="s">
        <v>1209</v>
      </c>
      <c r="W273" s="3" t="s">
        <v>40</v>
      </c>
      <c r="X273" s="2" t="s">
        <v>37</v>
      </c>
    </row>
    <row r="274" spans="1:24" hidden="1" x14ac:dyDescent="0.3">
      <c r="A274" s="2">
        <v>276</v>
      </c>
      <c r="B274" s="2" t="s">
        <v>1210</v>
      </c>
      <c r="C274" s="50" t="s">
        <v>1211</v>
      </c>
      <c r="D274" s="2" t="s">
        <v>119</v>
      </c>
      <c r="E274" s="2" t="s">
        <v>470</v>
      </c>
      <c r="F274" s="2" t="s">
        <v>121</v>
      </c>
      <c r="G274" s="2" t="s">
        <v>603</v>
      </c>
      <c r="H274" s="3"/>
      <c r="I274" s="2" t="s">
        <v>1211</v>
      </c>
      <c r="J274" s="2" t="s">
        <v>127</v>
      </c>
      <c r="K274" s="2" t="s">
        <v>1212</v>
      </c>
      <c r="N274" s="2" t="s">
        <v>127</v>
      </c>
      <c r="O274" s="3">
        <v>4.1313300000000002</v>
      </c>
      <c r="P274" s="3">
        <f t="shared" si="0"/>
        <v>4.1313300000000002</v>
      </c>
      <c r="Q274" s="47">
        <v>46147</v>
      </c>
      <c r="R274" s="3" t="s">
        <v>1201</v>
      </c>
      <c r="S274" s="3" t="s">
        <v>353</v>
      </c>
      <c r="T274" s="47">
        <v>46147</v>
      </c>
      <c r="U274" s="47">
        <v>46147</v>
      </c>
      <c r="V274" s="3" t="s">
        <v>1213</v>
      </c>
      <c r="W274" s="3" t="s">
        <v>40</v>
      </c>
      <c r="X274" s="2" t="s">
        <v>37</v>
      </c>
    </row>
    <row r="275" spans="1:24" hidden="1" x14ac:dyDescent="0.3">
      <c r="A275" s="2">
        <v>277</v>
      </c>
      <c r="B275" s="2" t="s">
        <v>1214</v>
      </c>
      <c r="C275" s="50" t="s">
        <v>1215</v>
      </c>
      <c r="D275" s="2" t="s">
        <v>119</v>
      </c>
      <c r="E275" s="2" t="s">
        <v>470</v>
      </c>
      <c r="F275" s="2" t="s">
        <v>121</v>
      </c>
      <c r="G275" s="2" t="s">
        <v>603</v>
      </c>
      <c r="H275" s="3"/>
      <c r="I275" s="2" t="s">
        <v>1215</v>
      </c>
      <c r="J275" s="2" t="s">
        <v>127</v>
      </c>
      <c r="N275" s="2" t="s">
        <v>127</v>
      </c>
      <c r="O275" s="3">
        <v>4.3600000000000003</v>
      </c>
      <c r="P275" s="3">
        <f t="shared" si="0"/>
        <v>4.3600000000000003</v>
      </c>
      <c r="Q275" s="47">
        <v>46147</v>
      </c>
      <c r="R275" s="3" t="s">
        <v>1201</v>
      </c>
      <c r="S275" s="3" t="s">
        <v>353</v>
      </c>
      <c r="T275" s="47">
        <v>46147</v>
      </c>
      <c r="U275" s="47">
        <v>46147</v>
      </c>
      <c r="V275" s="3" t="s">
        <v>1216</v>
      </c>
      <c r="W275" s="3" t="s">
        <v>40</v>
      </c>
      <c r="X275" s="2" t="s">
        <v>37</v>
      </c>
    </row>
    <row r="276" spans="1:24" hidden="1" x14ac:dyDescent="0.3">
      <c r="A276" s="2">
        <v>278</v>
      </c>
      <c r="B276" s="2" t="s">
        <v>1217</v>
      </c>
      <c r="C276" s="50" t="s">
        <v>1218</v>
      </c>
      <c r="D276" s="2" t="s">
        <v>119</v>
      </c>
      <c r="E276" s="2" t="s">
        <v>470</v>
      </c>
      <c r="F276" s="2" t="s">
        <v>140</v>
      </c>
      <c r="G276" s="2" t="s">
        <v>141</v>
      </c>
      <c r="H276" s="3"/>
      <c r="I276" s="2" t="s">
        <v>1218</v>
      </c>
      <c r="J276" s="2" t="s">
        <v>127</v>
      </c>
      <c r="K276" s="2" t="s">
        <v>1219</v>
      </c>
      <c r="N276" s="2" t="s">
        <v>127</v>
      </c>
      <c r="O276" s="3">
        <v>0.18482999999999999</v>
      </c>
      <c r="P276" s="3">
        <f t="shared" si="0"/>
        <v>0.18482999999999999</v>
      </c>
      <c r="Q276" s="47">
        <v>46147</v>
      </c>
      <c r="R276" s="3" t="s">
        <v>1201</v>
      </c>
      <c r="S276" s="3" t="s">
        <v>353</v>
      </c>
      <c r="T276" s="47">
        <v>46147</v>
      </c>
      <c r="U276" s="47">
        <v>46147</v>
      </c>
      <c r="V276" s="3" t="s">
        <v>1220</v>
      </c>
      <c r="W276" s="3" t="s">
        <v>40</v>
      </c>
      <c r="X276" s="2" t="s">
        <v>37</v>
      </c>
    </row>
    <row r="277" spans="1:24" hidden="1" x14ac:dyDescent="0.3">
      <c r="A277" s="2">
        <v>279</v>
      </c>
      <c r="B277" s="2" t="s">
        <v>1221</v>
      </c>
      <c r="C277" s="50" t="s">
        <v>1222</v>
      </c>
      <c r="D277" s="2" t="s">
        <v>119</v>
      </c>
      <c r="E277" s="2" t="s">
        <v>470</v>
      </c>
      <c r="F277" s="2" t="s">
        <v>140</v>
      </c>
      <c r="G277" s="2" t="s">
        <v>141</v>
      </c>
      <c r="H277" s="3"/>
      <c r="I277" s="2" t="s">
        <v>1222</v>
      </c>
      <c r="J277" s="2" t="s">
        <v>127</v>
      </c>
      <c r="K277" s="2" t="s">
        <v>1208</v>
      </c>
      <c r="N277" s="2" t="s">
        <v>127</v>
      </c>
      <c r="O277" s="3">
        <v>0.19991999999999999</v>
      </c>
      <c r="P277" s="3">
        <f t="shared" si="0"/>
        <v>0.19991999999999999</v>
      </c>
      <c r="Q277" s="47">
        <v>46147</v>
      </c>
      <c r="R277" s="3" t="s">
        <v>1201</v>
      </c>
      <c r="S277" s="3" t="s">
        <v>353</v>
      </c>
      <c r="T277" s="47">
        <v>46147</v>
      </c>
      <c r="U277" s="47">
        <v>46147</v>
      </c>
      <c r="V277" s="3" t="s">
        <v>1223</v>
      </c>
      <c r="W277" s="3" t="s">
        <v>40</v>
      </c>
      <c r="X277" s="2" t="s">
        <v>37</v>
      </c>
    </row>
    <row r="278" spans="1:24" hidden="1" x14ac:dyDescent="0.3">
      <c r="A278" s="2">
        <v>280</v>
      </c>
      <c r="B278" s="2" t="s">
        <v>1224</v>
      </c>
      <c r="C278" s="50" t="s">
        <v>1225</v>
      </c>
      <c r="D278" s="2" t="s">
        <v>119</v>
      </c>
      <c r="E278" s="2" t="s">
        <v>470</v>
      </c>
      <c r="F278" s="2" t="s">
        <v>140</v>
      </c>
      <c r="G278" s="2" t="s">
        <v>141</v>
      </c>
      <c r="H278" s="3"/>
      <c r="I278" s="2" t="s">
        <v>1225</v>
      </c>
      <c r="J278" s="2" t="s">
        <v>127</v>
      </c>
      <c r="K278" s="2" t="s">
        <v>1212</v>
      </c>
      <c r="N278" s="2" t="s">
        <v>127</v>
      </c>
      <c r="O278" s="3">
        <v>1.2342900000000001</v>
      </c>
      <c r="P278" s="3">
        <f t="shared" si="0"/>
        <v>1.2342900000000001</v>
      </c>
      <c r="Q278" s="47">
        <v>46147</v>
      </c>
      <c r="R278" s="3" t="s">
        <v>1201</v>
      </c>
      <c r="S278" s="3" t="s">
        <v>353</v>
      </c>
      <c r="T278" s="47">
        <v>46147</v>
      </c>
      <c r="U278" s="47">
        <v>46147</v>
      </c>
      <c r="V278" s="3" t="s">
        <v>1226</v>
      </c>
      <c r="W278" s="3" t="s">
        <v>40</v>
      </c>
      <c r="X278" s="2" t="s">
        <v>37</v>
      </c>
    </row>
    <row r="279" spans="1:24" hidden="1" x14ac:dyDescent="0.3">
      <c r="A279" s="2">
        <v>281</v>
      </c>
      <c r="B279" s="2" t="s">
        <v>1227</v>
      </c>
      <c r="C279" s="50" t="s">
        <v>1228</v>
      </c>
      <c r="D279" s="2" t="s">
        <v>119</v>
      </c>
      <c r="E279" s="2" t="s">
        <v>470</v>
      </c>
      <c r="F279" s="2" t="s">
        <v>140</v>
      </c>
      <c r="G279" s="2" t="s">
        <v>141</v>
      </c>
      <c r="H279" s="3"/>
      <c r="I279" s="2" t="s">
        <v>1228</v>
      </c>
      <c r="J279" s="2" t="s">
        <v>127</v>
      </c>
      <c r="N279" s="2" t="s">
        <v>127</v>
      </c>
      <c r="O279" s="3">
        <v>0.44900000000000001</v>
      </c>
      <c r="P279" s="3">
        <f t="shared" si="0"/>
        <v>0.44900000000000001</v>
      </c>
      <c r="Q279" s="47">
        <v>46147</v>
      </c>
      <c r="R279" s="3" t="s">
        <v>1201</v>
      </c>
      <c r="S279" s="3" t="s">
        <v>353</v>
      </c>
      <c r="T279" s="47">
        <v>46147</v>
      </c>
      <c r="U279" s="47">
        <v>46147</v>
      </c>
      <c r="V279" s="3" t="s">
        <v>1229</v>
      </c>
      <c r="W279" s="3" t="s">
        <v>40</v>
      </c>
      <c r="X279" s="2" t="s">
        <v>37</v>
      </c>
    </row>
    <row r="280" spans="1:24" hidden="1" x14ac:dyDescent="0.3">
      <c r="A280" s="2">
        <v>282</v>
      </c>
      <c r="B280" s="2" t="s">
        <v>1230</v>
      </c>
      <c r="C280" s="50" t="s">
        <v>1231</v>
      </c>
      <c r="D280" s="2" t="s">
        <v>119</v>
      </c>
      <c r="E280" s="2" t="s">
        <v>470</v>
      </c>
      <c r="F280" s="2" t="s">
        <v>140</v>
      </c>
      <c r="G280" s="2" t="s">
        <v>141</v>
      </c>
      <c r="H280" s="3"/>
      <c r="I280" s="2" t="s">
        <v>1231</v>
      </c>
      <c r="J280" s="2" t="s">
        <v>127</v>
      </c>
      <c r="N280" s="2" t="s">
        <v>127</v>
      </c>
      <c r="O280" s="3">
        <v>0.86956</v>
      </c>
      <c r="P280" s="3">
        <f t="shared" si="0"/>
        <v>0.86956</v>
      </c>
      <c r="Q280" s="47">
        <v>46147</v>
      </c>
      <c r="R280" s="3" t="s">
        <v>1201</v>
      </c>
      <c r="S280" s="3" t="s">
        <v>353</v>
      </c>
      <c r="T280" s="47">
        <v>46147</v>
      </c>
      <c r="U280" s="47">
        <v>46147</v>
      </c>
      <c r="V280" s="3" t="s">
        <v>1232</v>
      </c>
      <c r="W280" s="3" t="s">
        <v>40</v>
      </c>
      <c r="X280" s="2" t="s">
        <v>37</v>
      </c>
    </row>
    <row r="281" spans="1:24" hidden="1" x14ac:dyDescent="0.3">
      <c r="A281" s="2">
        <v>283</v>
      </c>
      <c r="B281" s="2" t="s">
        <v>1233</v>
      </c>
      <c r="C281" s="50" t="s">
        <v>1234</v>
      </c>
      <c r="D281" s="2" t="s">
        <v>119</v>
      </c>
      <c r="E281" s="2" t="s">
        <v>470</v>
      </c>
      <c r="F281" s="2" t="s">
        <v>140</v>
      </c>
      <c r="G281" s="2" t="s">
        <v>501</v>
      </c>
      <c r="H281" s="3"/>
      <c r="I281" s="2" t="s">
        <v>1234</v>
      </c>
      <c r="J281" s="2" t="s">
        <v>127</v>
      </c>
      <c r="K281" s="2" t="s">
        <v>1219</v>
      </c>
      <c r="N281" s="2" t="s">
        <v>127</v>
      </c>
      <c r="O281" s="3">
        <v>0.26</v>
      </c>
      <c r="P281" s="3">
        <f t="shared" si="0"/>
        <v>0.26</v>
      </c>
      <c r="Q281" s="47">
        <v>46147</v>
      </c>
      <c r="R281" s="3" t="s">
        <v>1201</v>
      </c>
      <c r="S281" s="3" t="s">
        <v>353</v>
      </c>
      <c r="T281" s="47">
        <v>46147</v>
      </c>
      <c r="U281" s="47">
        <v>46147</v>
      </c>
      <c r="V281" s="3" t="s">
        <v>1235</v>
      </c>
      <c r="W281" s="3" t="s">
        <v>40</v>
      </c>
      <c r="X281" s="2" t="s">
        <v>37</v>
      </c>
    </row>
    <row r="282" spans="1:24" hidden="1" x14ac:dyDescent="0.3">
      <c r="A282" s="2">
        <v>284</v>
      </c>
      <c r="B282" s="2" t="s">
        <v>1236</v>
      </c>
      <c r="C282" s="50" t="s">
        <v>1237</v>
      </c>
      <c r="D282" s="2" t="s">
        <v>119</v>
      </c>
      <c r="E282" s="2" t="s">
        <v>470</v>
      </c>
      <c r="F282" s="2" t="s">
        <v>121</v>
      </c>
      <c r="G282" s="2" t="s">
        <v>513</v>
      </c>
      <c r="H282" s="3"/>
      <c r="I282" s="2" t="s">
        <v>1237</v>
      </c>
      <c r="J282" s="2" t="s">
        <v>127</v>
      </c>
      <c r="K282" s="2" t="s">
        <v>1238</v>
      </c>
      <c r="N282" s="2" t="s">
        <v>127</v>
      </c>
      <c r="O282" s="3">
        <v>5.6</v>
      </c>
      <c r="P282" s="3">
        <f t="shared" si="0"/>
        <v>5.6</v>
      </c>
      <c r="Q282" s="47">
        <v>46147</v>
      </c>
      <c r="R282" s="3" t="s">
        <v>1201</v>
      </c>
      <c r="S282" s="3" t="s">
        <v>353</v>
      </c>
      <c r="T282" s="47">
        <v>46147</v>
      </c>
      <c r="U282" s="47">
        <v>46147</v>
      </c>
      <c r="V282" s="3" t="s">
        <v>1239</v>
      </c>
      <c r="W282" s="3" t="s">
        <v>40</v>
      </c>
      <c r="X282" s="2" t="s">
        <v>37</v>
      </c>
    </row>
    <row r="283" spans="1:24" hidden="1" x14ac:dyDescent="0.3">
      <c r="A283" s="2">
        <v>285</v>
      </c>
      <c r="B283" s="2" t="s">
        <v>1240</v>
      </c>
      <c r="C283" s="50" t="s">
        <v>1241</v>
      </c>
      <c r="D283" s="2" t="s">
        <v>119</v>
      </c>
      <c r="E283" s="2" t="s">
        <v>470</v>
      </c>
      <c r="F283" s="2" t="s">
        <v>140</v>
      </c>
      <c r="G283" s="2" t="s">
        <v>501</v>
      </c>
      <c r="H283" s="3"/>
      <c r="I283" s="2" t="s">
        <v>1241</v>
      </c>
      <c r="J283" s="2" t="s">
        <v>127</v>
      </c>
      <c r="K283" s="2" t="s">
        <v>1208</v>
      </c>
      <c r="N283" s="2" t="s">
        <v>127</v>
      </c>
      <c r="O283" s="3">
        <v>0.3</v>
      </c>
      <c r="P283" s="3">
        <f t="shared" si="0"/>
        <v>0.3</v>
      </c>
      <c r="Q283" s="47">
        <v>46147</v>
      </c>
      <c r="R283" s="3" t="s">
        <v>1201</v>
      </c>
      <c r="S283" s="3" t="s">
        <v>353</v>
      </c>
      <c r="T283" s="47">
        <v>46147</v>
      </c>
      <c r="U283" s="47">
        <v>46147</v>
      </c>
      <c r="V283" s="3" t="s">
        <v>1242</v>
      </c>
      <c r="W283" s="3" t="s">
        <v>40</v>
      </c>
      <c r="X283" s="2" t="s">
        <v>37</v>
      </c>
    </row>
    <row r="284" spans="1:24" hidden="1" x14ac:dyDescent="0.3">
      <c r="A284" s="2">
        <v>286</v>
      </c>
      <c r="B284" s="2" t="s">
        <v>1243</v>
      </c>
      <c r="C284" s="50" t="s">
        <v>1244</v>
      </c>
      <c r="D284" s="2" t="s">
        <v>119</v>
      </c>
      <c r="E284" s="2" t="s">
        <v>470</v>
      </c>
      <c r="F284" s="2" t="s">
        <v>140</v>
      </c>
      <c r="G284" s="2" t="s">
        <v>501</v>
      </c>
      <c r="H284" s="3"/>
      <c r="I284" s="2" t="s">
        <v>1244</v>
      </c>
      <c r="J284" s="2" t="s">
        <v>127</v>
      </c>
      <c r="K284" s="2" t="s">
        <v>1212</v>
      </c>
      <c r="N284" s="2" t="s">
        <v>127</v>
      </c>
      <c r="O284" s="3">
        <v>1.23</v>
      </c>
      <c r="P284" s="3">
        <f t="shared" si="0"/>
        <v>1.23</v>
      </c>
      <c r="Q284" s="47">
        <v>46147</v>
      </c>
      <c r="R284" s="3" t="s">
        <v>1201</v>
      </c>
      <c r="S284" s="3" t="s">
        <v>353</v>
      </c>
      <c r="T284" s="47">
        <v>46147</v>
      </c>
      <c r="U284" s="47">
        <v>46147</v>
      </c>
      <c r="V284" s="3" t="s">
        <v>1245</v>
      </c>
      <c r="W284" s="3" t="s">
        <v>40</v>
      </c>
      <c r="X284" s="2" t="s">
        <v>37</v>
      </c>
    </row>
    <row r="285" spans="1:24" hidden="1" x14ac:dyDescent="0.3">
      <c r="A285" s="2">
        <v>287</v>
      </c>
      <c r="B285" s="2" t="s">
        <v>1246</v>
      </c>
      <c r="C285" s="50" t="s">
        <v>1247</v>
      </c>
      <c r="D285" s="2" t="s">
        <v>119</v>
      </c>
      <c r="E285" s="2" t="s">
        <v>470</v>
      </c>
      <c r="F285" s="2" t="s">
        <v>140</v>
      </c>
      <c r="G285" s="2" t="s">
        <v>501</v>
      </c>
      <c r="H285" s="3"/>
      <c r="I285" s="2" t="s">
        <v>1247</v>
      </c>
      <c r="J285" s="2" t="s">
        <v>127</v>
      </c>
      <c r="N285" s="2" t="s">
        <v>127</v>
      </c>
      <c r="O285" s="3">
        <v>0.63</v>
      </c>
      <c r="P285" s="3">
        <f t="shared" si="0"/>
        <v>0.63</v>
      </c>
      <c r="Q285" s="47">
        <v>46147</v>
      </c>
      <c r="R285" s="3" t="s">
        <v>1201</v>
      </c>
      <c r="S285" s="3" t="s">
        <v>353</v>
      </c>
      <c r="T285" s="47">
        <v>46147</v>
      </c>
      <c r="U285" s="47">
        <v>46147</v>
      </c>
      <c r="V285" s="3" t="s">
        <v>1248</v>
      </c>
      <c r="W285" s="3" t="s">
        <v>40</v>
      </c>
      <c r="X285" s="2" t="s">
        <v>37</v>
      </c>
    </row>
    <row r="286" spans="1:24" hidden="1" x14ac:dyDescent="0.3">
      <c r="A286" s="2">
        <v>288</v>
      </c>
      <c r="B286" s="2" t="s">
        <v>1249</v>
      </c>
      <c r="C286" s="50" t="s">
        <v>1250</v>
      </c>
      <c r="D286" s="2" t="s">
        <v>119</v>
      </c>
      <c r="E286" s="2" t="s">
        <v>470</v>
      </c>
      <c r="F286" s="2" t="s">
        <v>140</v>
      </c>
      <c r="G286" s="2" t="s">
        <v>501</v>
      </c>
      <c r="H286" s="3"/>
      <c r="I286" s="2" t="s">
        <v>1250</v>
      </c>
      <c r="J286" s="2" t="s">
        <v>127</v>
      </c>
      <c r="N286" s="2" t="s">
        <v>127</v>
      </c>
      <c r="O286" s="3">
        <v>0.86</v>
      </c>
      <c r="P286" s="3">
        <f t="shared" si="0"/>
        <v>0.86</v>
      </c>
      <c r="Q286" s="47">
        <v>46147</v>
      </c>
      <c r="R286" s="3" t="s">
        <v>1201</v>
      </c>
      <c r="S286" s="3" t="s">
        <v>353</v>
      </c>
      <c r="T286" s="47">
        <v>46147</v>
      </c>
      <c r="U286" s="47">
        <v>46147</v>
      </c>
      <c r="V286" s="3" t="s">
        <v>1251</v>
      </c>
      <c r="W286" s="3" t="s">
        <v>40</v>
      </c>
      <c r="X286" s="2" t="s">
        <v>37</v>
      </c>
    </row>
    <row r="287" spans="1:24" hidden="1" x14ac:dyDescent="0.3">
      <c r="A287" s="2">
        <v>289</v>
      </c>
      <c r="B287" s="2" t="s">
        <v>1252</v>
      </c>
      <c r="C287" s="50" t="s">
        <v>1253</v>
      </c>
      <c r="D287" s="2" t="s">
        <v>119</v>
      </c>
      <c r="E287" s="2" t="s">
        <v>470</v>
      </c>
      <c r="F287" s="2" t="s">
        <v>121</v>
      </c>
      <c r="G287" s="2" t="s">
        <v>629</v>
      </c>
      <c r="H287" s="3"/>
      <c r="I287" s="2" t="s">
        <v>1253</v>
      </c>
      <c r="J287" s="2" t="s">
        <v>127</v>
      </c>
      <c r="K287" s="2" t="s">
        <v>1254</v>
      </c>
      <c r="N287" s="2" t="s">
        <v>127</v>
      </c>
      <c r="O287" s="3">
        <v>6.99</v>
      </c>
      <c r="P287" s="3">
        <f t="shared" si="0"/>
        <v>6.99</v>
      </c>
      <c r="Q287" s="47">
        <v>46147</v>
      </c>
      <c r="R287" s="3" t="s">
        <v>1201</v>
      </c>
      <c r="S287" s="3" t="s">
        <v>353</v>
      </c>
      <c r="T287" s="47">
        <v>46147</v>
      </c>
      <c r="U287" s="47">
        <v>46147</v>
      </c>
      <c r="V287" s="3" t="s">
        <v>1255</v>
      </c>
      <c r="W287" s="3" t="s">
        <v>40</v>
      </c>
      <c r="X287" s="2" t="s">
        <v>37</v>
      </c>
    </row>
    <row r="288" spans="1:24" hidden="1" x14ac:dyDescent="0.3">
      <c r="A288" s="2">
        <v>290</v>
      </c>
      <c r="B288" s="2" t="s">
        <v>1256</v>
      </c>
      <c r="C288" s="50" t="s">
        <v>1257</v>
      </c>
      <c r="D288" s="2" t="s">
        <v>119</v>
      </c>
      <c r="E288" s="2" t="s">
        <v>470</v>
      </c>
      <c r="F288" s="2" t="s">
        <v>140</v>
      </c>
      <c r="G288" s="2" t="s">
        <v>1258</v>
      </c>
      <c r="H288" s="3"/>
      <c r="I288" s="2" t="s">
        <v>1257</v>
      </c>
      <c r="J288" s="2" t="s">
        <v>127</v>
      </c>
      <c r="K288" s="2" t="s">
        <v>530</v>
      </c>
      <c r="N288" s="2" t="s">
        <v>127</v>
      </c>
      <c r="O288" s="3">
        <v>0.4</v>
      </c>
      <c r="P288" s="3">
        <f t="shared" si="0"/>
        <v>0.4</v>
      </c>
      <c r="Q288" s="47">
        <v>46147</v>
      </c>
      <c r="R288" s="3" t="s">
        <v>1201</v>
      </c>
      <c r="S288" s="3" t="s">
        <v>353</v>
      </c>
      <c r="T288" s="47">
        <v>46147</v>
      </c>
      <c r="U288" s="47">
        <v>46147</v>
      </c>
      <c r="V288" s="3" t="s">
        <v>1259</v>
      </c>
      <c r="W288" s="3" t="s">
        <v>40</v>
      </c>
      <c r="X288" s="2" t="s">
        <v>37</v>
      </c>
    </row>
    <row r="289" spans="1:24" hidden="1" x14ac:dyDescent="0.3">
      <c r="A289" s="2">
        <v>291</v>
      </c>
      <c r="B289" s="2" t="s">
        <v>1260</v>
      </c>
      <c r="C289" s="50" t="s">
        <v>1261</v>
      </c>
      <c r="D289" s="2" t="s">
        <v>119</v>
      </c>
      <c r="E289" s="2" t="s">
        <v>470</v>
      </c>
      <c r="F289" s="2" t="s">
        <v>121</v>
      </c>
      <c r="G289" s="2" t="s">
        <v>1262</v>
      </c>
      <c r="H289" s="3"/>
      <c r="I289" s="2" t="s">
        <v>1261</v>
      </c>
      <c r="J289" s="2" t="s">
        <v>127</v>
      </c>
      <c r="N289" s="2" t="s">
        <v>127</v>
      </c>
      <c r="O289" s="3">
        <v>1.1000000000000001</v>
      </c>
      <c r="P289" s="3">
        <f t="shared" si="0"/>
        <v>1.1000000000000001</v>
      </c>
      <c r="Q289" s="47">
        <v>46147</v>
      </c>
      <c r="R289" s="3" t="s">
        <v>1201</v>
      </c>
      <c r="S289" s="3" t="s">
        <v>353</v>
      </c>
      <c r="T289" s="47">
        <v>46147</v>
      </c>
      <c r="U289" s="47">
        <v>46147</v>
      </c>
      <c r="V289" s="3" t="s">
        <v>1263</v>
      </c>
      <c r="W289" s="3" t="s">
        <v>40</v>
      </c>
      <c r="X289" s="2" t="s">
        <v>37</v>
      </c>
    </row>
    <row r="290" spans="1:24" hidden="1" x14ac:dyDescent="0.3">
      <c r="A290" s="2">
        <v>292</v>
      </c>
      <c r="B290" s="2" t="s">
        <v>1264</v>
      </c>
      <c r="C290" s="50" t="s">
        <v>1265</v>
      </c>
      <c r="D290" s="2" t="s">
        <v>119</v>
      </c>
      <c r="E290" s="2" t="s">
        <v>470</v>
      </c>
      <c r="F290" s="2" t="s">
        <v>121</v>
      </c>
      <c r="G290" s="2" t="s">
        <v>629</v>
      </c>
      <c r="H290" s="3"/>
      <c r="I290" s="2" t="s">
        <v>1265</v>
      </c>
      <c r="J290" s="2" t="s">
        <v>127</v>
      </c>
      <c r="K290" s="2" t="s">
        <v>633</v>
      </c>
      <c r="N290" s="2" t="s">
        <v>127</v>
      </c>
      <c r="O290" s="3">
        <v>1.89</v>
      </c>
      <c r="P290" s="3">
        <f t="shared" si="0"/>
        <v>1.89</v>
      </c>
      <c r="Q290" s="47">
        <v>46147</v>
      </c>
      <c r="R290" s="3" t="s">
        <v>1201</v>
      </c>
      <c r="S290" s="3" t="s">
        <v>353</v>
      </c>
      <c r="T290" s="47">
        <v>46147</v>
      </c>
      <c r="U290" s="47">
        <v>46147</v>
      </c>
      <c r="V290" s="3" t="s">
        <v>1266</v>
      </c>
      <c r="W290" s="3" t="s">
        <v>40</v>
      </c>
      <c r="X290" s="2" t="s">
        <v>37</v>
      </c>
    </row>
    <row r="291" spans="1:24" hidden="1" x14ac:dyDescent="0.3">
      <c r="A291" s="2">
        <v>293</v>
      </c>
      <c r="B291" s="2" t="s">
        <v>1267</v>
      </c>
      <c r="C291" s="50" t="s">
        <v>1268</v>
      </c>
      <c r="D291" s="2" t="s">
        <v>119</v>
      </c>
      <c r="E291" s="2" t="s">
        <v>470</v>
      </c>
      <c r="F291" s="2" t="s">
        <v>140</v>
      </c>
      <c r="G291" s="2" t="s">
        <v>698</v>
      </c>
      <c r="H291" s="3"/>
      <c r="I291" s="2" t="s">
        <v>1268</v>
      </c>
      <c r="J291" s="2" t="s">
        <v>127</v>
      </c>
      <c r="N291" s="2" t="s">
        <v>127</v>
      </c>
      <c r="O291" s="3">
        <v>1.81</v>
      </c>
      <c r="P291" s="3">
        <f t="shared" si="0"/>
        <v>1.81</v>
      </c>
      <c r="Q291" s="47">
        <v>46147</v>
      </c>
      <c r="R291" s="3" t="s">
        <v>1201</v>
      </c>
      <c r="S291" s="3" t="s">
        <v>353</v>
      </c>
      <c r="T291" s="47">
        <v>46147</v>
      </c>
      <c r="U291" s="47">
        <v>46147</v>
      </c>
      <c r="V291" s="3" t="s">
        <v>1269</v>
      </c>
      <c r="W291" s="3" t="s">
        <v>40</v>
      </c>
      <c r="X291" s="2" t="s">
        <v>37</v>
      </c>
    </row>
    <row r="292" spans="1:24" hidden="1" x14ac:dyDescent="0.3">
      <c r="A292" s="2">
        <v>294</v>
      </c>
      <c r="B292" s="2" t="s">
        <v>1270</v>
      </c>
      <c r="C292" s="50" t="s">
        <v>1271</v>
      </c>
      <c r="D292" s="2" t="s">
        <v>119</v>
      </c>
      <c r="E292" s="2" t="s">
        <v>470</v>
      </c>
      <c r="F292" s="2" t="s">
        <v>121</v>
      </c>
      <c r="G292" s="2" t="s">
        <v>629</v>
      </c>
      <c r="H292" s="3"/>
      <c r="I292" s="2" t="s">
        <v>1271</v>
      </c>
      <c r="J292" s="2" t="s">
        <v>127</v>
      </c>
      <c r="K292" s="2" t="s">
        <v>633</v>
      </c>
      <c r="N292" s="2" t="s">
        <v>127</v>
      </c>
      <c r="O292" s="3">
        <v>4.5999999999999996</v>
      </c>
      <c r="P292" s="3">
        <f t="shared" si="0"/>
        <v>4.5999999999999996</v>
      </c>
      <c r="Q292" s="47">
        <v>46147</v>
      </c>
      <c r="R292" s="3" t="s">
        <v>1201</v>
      </c>
      <c r="S292" s="3" t="s">
        <v>353</v>
      </c>
      <c r="T292" s="47">
        <v>46147</v>
      </c>
      <c r="U292" s="47">
        <v>46147</v>
      </c>
      <c r="V292" s="3" t="s">
        <v>1272</v>
      </c>
      <c r="W292" s="3" t="s">
        <v>40</v>
      </c>
      <c r="X292" s="2" t="s">
        <v>37</v>
      </c>
    </row>
    <row r="293" spans="1:24" hidden="1" x14ac:dyDescent="0.3">
      <c r="A293" s="2">
        <v>295</v>
      </c>
      <c r="B293" s="2" t="s">
        <v>1273</v>
      </c>
      <c r="C293" s="50" t="s">
        <v>1274</v>
      </c>
      <c r="D293" s="2" t="s">
        <v>119</v>
      </c>
      <c r="E293" s="2" t="s">
        <v>470</v>
      </c>
      <c r="F293" s="2" t="s">
        <v>121</v>
      </c>
      <c r="G293" s="2" t="s">
        <v>553</v>
      </c>
      <c r="H293" s="3"/>
      <c r="I293" s="2" t="s">
        <v>1274</v>
      </c>
      <c r="J293" s="2" t="s">
        <v>556</v>
      </c>
      <c r="K293" s="2" t="s">
        <v>1275</v>
      </c>
      <c r="N293" s="2" t="s">
        <v>556</v>
      </c>
      <c r="O293" s="3">
        <v>2.31</v>
      </c>
      <c r="P293" s="3">
        <f t="shared" si="0"/>
        <v>2.31</v>
      </c>
      <c r="Q293" s="47">
        <v>46147</v>
      </c>
      <c r="R293" s="3" t="s">
        <v>1201</v>
      </c>
      <c r="S293" s="3" t="s">
        <v>353</v>
      </c>
      <c r="T293" s="47">
        <v>46147</v>
      </c>
      <c r="U293" s="47">
        <v>46147</v>
      </c>
      <c r="V293" s="3" t="s">
        <v>1276</v>
      </c>
      <c r="W293" s="3" t="s">
        <v>40</v>
      </c>
      <c r="X293" s="2" t="s">
        <v>37</v>
      </c>
    </row>
    <row r="294" spans="1:24" hidden="1" x14ac:dyDescent="0.3">
      <c r="A294" s="2">
        <v>296</v>
      </c>
      <c r="B294" s="2" t="s">
        <v>1277</v>
      </c>
      <c r="C294" s="50" t="s">
        <v>1278</v>
      </c>
      <c r="D294" s="2" t="s">
        <v>119</v>
      </c>
      <c r="E294" s="2" t="s">
        <v>470</v>
      </c>
      <c r="F294" s="2" t="s">
        <v>121</v>
      </c>
      <c r="G294" s="2" t="s">
        <v>661</v>
      </c>
      <c r="H294" s="3"/>
      <c r="I294" s="2" t="s">
        <v>1278</v>
      </c>
      <c r="J294" s="2" t="s">
        <v>127</v>
      </c>
      <c r="N294" s="2" t="s">
        <v>127</v>
      </c>
      <c r="O294" s="3">
        <v>1.39</v>
      </c>
      <c r="P294" s="3">
        <f t="shared" si="0"/>
        <v>1.39</v>
      </c>
      <c r="Q294" s="47">
        <v>46147</v>
      </c>
      <c r="R294" s="3" t="s">
        <v>1201</v>
      </c>
      <c r="S294" s="3" t="s">
        <v>353</v>
      </c>
      <c r="T294" s="47">
        <v>46147</v>
      </c>
      <c r="U294" s="47">
        <v>46147</v>
      </c>
      <c r="V294" s="3" t="s">
        <v>1279</v>
      </c>
      <c r="W294" s="3" t="s">
        <v>40</v>
      </c>
      <c r="X294" s="2" t="s">
        <v>37</v>
      </c>
    </row>
    <row r="295" spans="1:24" hidden="1" x14ac:dyDescent="0.3">
      <c r="A295" s="2">
        <v>297</v>
      </c>
      <c r="B295" s="2" t="s">
        <v>1280</v>
      </c>
      <c r="C295" s="50" t="s">
        <v>1281</v>
      </c>
      <c r="D295" s="2" t="s">
        <v>119</v>
      </c>
      <c r="E295" s="2" t="s">
        <v>470</v>
      </c>
      <c r="F295" s="2" t="s">
        <v>121</v>
      </c>
      <c r="G295" s="2" t="s">
        <v>661</v>
      </c>
      <c r="H295" s="3"/>
      <c r="I295" s="2" t="s">
        <v>1281</v>
      </c>
      <c r="J295" s="2" t="s">
        <v>127</v>
      </c>
      <c r="K295" s="2" t="s">
        <v>1282</v>
      </c>
      <c r="N295" s="2" t="s">
        <v>127</v>
      </c>
      <c r="O295" s="3">
        <v>2.6</v>
      </c>
      <c r="P295" s="3">
        <f t="shared" si="0"/>
        <v>2.6</v>
      </c>
      <c r="Q295" s="47">
        <v>46147</v>
      </c>
      <c r="R295" s="3" t="s">
        <v>1201</v>
      </c>
      <c r="S295" s="3" t="s">
        <v>353</v>
      </c>
      <c r="T295" s="47">
        <v>46147</v>
      </c>
      <c r="U295" s="47">
        <v>46147</v>
      </c>
      <c r="V295" s="3" t="s">
        <v>1283</v>
      </c>
      <c r="W295" s="3" t="s">
        <v>40</v>
      </c>
      <c r="X295" s="2" t="s">
        <v>37</v>
      </c>
    </row>
    <row r="296" spans="1:24" hidden="1" x14ac:dyDescent="0.3">
      <c r="A296" s="2">
        <v>298</v>
      </c>
      <c r="B296" s="2" t="s">
        <v>1284</v>
      </c>
      <c r="C296" s="50" t="s">
        <v>1285</v>
      </c>
      <c r="D296" s="2" t="s">
        <v>119</v>
      </c>
      <c r="E296" s="2" t="s">
        <v>470</v>
      </c>
      <c r="F296" s="2" t="s">
        <v>121</v>
      </c>
      <c r="G296" s="2" t="s">
        <v>661</v>
      </c>
      <c r="H296" s="3"/>
      <c r="I296" s="2" t="s">
        <v>1285</v>
      </c>
      <c r="J296" s="2" t="s">
        <v>127</v>
      </c>
      <c r="N296" s="2" t="s">
        <v>127</v>
      </c>
      <c r="O296" s="3">
        <v>1.89</v>
      </c>
      <c r="P296" s="3">
        <f t="shared" ref="P296:P327" si="1">IF(S296="No Incluye",O296,IF(S296="Incluye",O296/1.15,IF(S296="No Define",O296,"")))</f>
        <v>1.89</v>
      </c>
      <c r="Q296" s="47">
        <v>46147</v>
      </c>
      <c r="R296" s="3" t="s">
        <v>1201</v>
      </c>
      <c r="S296" s="3" t="s">
        <v>353</v>
      </c>
      <c r="T296" s="47">
        <v>46147</v>
      </c>
      <c r="U296" s="47">
        <v>46147</v>
      </c>
      <c r="V296" s="3" t="s">
        <v>1286</v>
      </c>
      <c r="W296" s="3" t="s">
        <v>40</v>
      </c>
      <c r="X296" s="2" t="s">
        <v>37</v>
      </c>
    </row>
    <row r="297" spans="1:24" hidden="1" x14ac:dyDescent="0.3">
      <c r="A297" s="2">
        <v>299</v>
      </c>
      <c r="B297" s="2" t="s">
        <v>1287</v>
      </c>
      <c r="C297" s="50" t="s">
        <v>1288</v>
      </c>
      <c r="D297" s="2" t="s">
        <v>119</v>
      </c>
      <c r="E297" s="2" t="s">
        <v>470</v>
      </c>
      <c r="F297" s="2" t="s">
        <v>121</v>
      </c>
      <c r="G297" s="2" t="s">
        <v>661</v>
      </c>
      <c r="H297" s="3"/>
      <c r="I297" s="2" t="s">
        <v>1288</v>
      </c>
      <c r="J297" s="2" t="s">
        <v>127</v>
      </c>
      <c r="N297" s="2" t="s">
        <v>127</v>
      </c>
      <c r="O297" s="3">
        <v>1.29</v>
      </c>
      <c r="P297" s="3">
        <f t="shared" si="1"/>
        <v>1.29</v>
      </c>
      <c r="Q297" s="47">
        <v>46147</v>
      </c>
      <c r="R297" s="3" t="s">
        <v>1201</v>
      </c>
      <c r="S297" s="3" t="s">
        <v>353</v>
      </c>
      <c r="T297" s="47">
        <v>46147</v>
      </c>
      <c r="U297" s="47">
        <v>46147</v>
      </c>
      <c r="V297" s="3" t="s">
        <v>1289</v>
      </c>
      <c r="W297" s="3" t="s">
        <v>40</v>
      </c>
      <c r="X297" s="2" t="s">
        <v>37</v>
      </c>
    </row>
    <row r="298" spans="1:24" hidden="1" x14ac:dyDescent="0.3">
      <c r="A298" s="2">
        <v>300</v>
      </c>
      <c r="B298" s="2" t="s">
        <v>1290</v>
      </c>
      <c r="C298" s="50" t="s">
        <v>1291</v>
      </c>
      <c r="D298" s="2" t="s">
        <v>119</v>
      </c>
      <c r="E298" s="2" t="s">
        <v>470</v>
      </c>
      <c r="F298" s="2" t="s">
        <v>121</v>
      </c>
      <c r="G298" s="2" t="s">
        <v>553</v>
      </c>
      <c r="H298" s="3"/>
      <c r="I298" s="2" t="s">
        <v>1291</v>
      </c>
      <c r="J298" s="2" t="s">
        <v>556</v>
      </c>
      <c r="K298" s="2" t="s">
        <v>1292</v>
      </c>
      <c r="N298" s="2" t="s">
        <v>556</v>
      </c>
      <c r="O298" s="3">
        <v>3.62</v>
      </c>
      <c r="P298" s="3">
        <f t="shared" si="1"/>
        <v>3.62</v>
      </c>
      <c r="Q298" s="47">
        <v>46147</v>
      </c>
      <c r="R298" s="3" t="s">
        <v>1201</v>
      </c>
      <c r="S298" s="3" t="s">
        <v>353</v>
      </c>
      <c r="T298" s="47">
        <v>46147</v>
      </c>
      <c r="U298" s="47">
        <v>46147</v>
      </c>
      <c r="V298" s="3" t="s">
        <v>1293</v>
      </c>
      <c r="W298" s="3" t="s">
        <v>40</v>
      </c>
      <c r="X298" s="2" t="s">
        <v>37</v>
      </c>
    </row>
    <row r="299" spans="1:24" hidden="1" x14ac:dyDescent="0.3">
      <c r="A299" s="2">
        <v>301</v>
      </c>
      <c r="B299" s="2" t="s">
        <v>1294</v>
      </c>
      <c r="C299" s="50" t="s">
        <v>1295</v>
      </c>
      <c r="D299" s="2" t="s">
        <v>119</v>
      </c>
      <c r="E299" s="2" t="s">
        <v>470</v>
      </c>
      <c r="F299" s="2" t="s">
        <v>121</v>
      </c>
      <c r="G299" s="2" t="s">
        <v>553</v>
      </c>
      <c r="H299" s="3"/>
      <c r="I299" s="2" t="s">
        <v>1295</v>
      </c>
      <c r="J299" s="2" t="s">
        <v>556</v>
      </c>
      <c r="K299" s="2" t="s">
        <v>1296</v>
      </c>
      <c r="N299" s="2" t="s">
        <v>556</v>
      </c>
      <c r="O299" s="3">
        <v>2.3199999999999998</v>
      </c>
      <c r="P299" s="3">
        <f t="shared" si="1"/>
        <v>2.3199999999999998</v>
      </c>
      <c r="Q299" s="47">
        <v>46147</v>
      </c>
      <c r="R299" s="3" t="s">
        <v>1201</v>
      </c>
      <c r="S299" s="3" t="s">
        <v>353</v>
      </c>
      <c r="T299" s="47">
        <v>46147</v>
      </c>
      <c r="U299" s="47">
        <v>46147</v>
      </c>
      <c r="V299" s="3" t="s">
        <v>1297</v>
      </c>
      <c r="W299" s="3" t="s">
        <v>40</v>
      </c>
      <c r="X299" s="2" t="s">
        <v>37</v>
      </c>
    </row>
    <row r="300" spans="1:24" hidden="1" x14ac:dyDescent="0.3">
      <c r="A300" s="2">
        <v>302</v>
      </c>
      <c r="B300" s="2" t="s">
        <v>1298</v>
      </c>
      <c r="C300" s="50" t="s">
        <v>1299</v>
      </c>
      <c r="D300" s="2" t="s">
        <v>119</v>
      </c>
      <c r="E300" s="2" t="s">
        <v>470</v>
      </c>
      <c r="F300" s="2" t="s">
        <v>140</v>
      </c>
      <c r="G300" s="2" t="s">
        <v>714</v>
      </c>
      <c r="H300" s="3"/>
      <c r="I300" s="2" t="s">
        <v>1299</v>
      </c>
      <c r="J300" s="2" t="s">
        <v>127</v>
      </c>
      <c r="K300" s="2" t="s">
        <v>1300</v>
      </c>
      <c r="N300" s="2" t="s">
        <v>127</v>
      </c>
      <c r="O300" s="3">
        <v>4.9400000000000004</v>
      </c>
      <c r="P300" s="3">
        <f t="shared" si="1"/>
        <v>4.9400000000000004</v>
      </c>
      <c r="Q300" s="47">
        <v>46147</v>
      </c>
      <c r="R300" s="3" t="s">
        <v>1201</v>
      </c>
      <c r="S300" s="3" t="s">
        <v>353</v>
      </c>
      <c r="T300" s="47">
        <v>46147</v>
      </c>
      <c r="U300" s="47">
        <v>46147</v>
      </c>
      <c r="V300" s="3" t="s">
        <v>1301</v>
      </c>
      <c r="W300" s="3" t="s">
        <v>40</v>
      </c>
      <c r="X300" s="2" t="s">
        <v>37</v>
      </c>
    </row>
    <row r="301" spans="1:24" hidden="1" x14ac:dyDescent="0.3">
      <c r="A301" s="2">
        <v>303</v>
      </c>
      <c r="B301" s="2" t="s">
        <v>1302</v>
      </c>
      <c r="C301" s="50" t="s">
        <v>1303</v>
      </c>
      <c r="D301" s="2" t="s">
        <v>119</v>
      </c>
      <c r="E301" s="2" t="s">
        <v>470</v>
      </c>
      <c r="F301" s="2" t="s">
        <v>140</v>
      </c>
      <c r="G301" s="2" t="s">
        <v>714</v>
      </c>
      <c r="H301" s="3"/>
      <c r="I301" s="2" t="s">
        <v>1303</v>
      </c>
      <c r="J301" s="2" t="s">
        <v>127</v>
      </c>
      <c r="K301" s="2" t="s">
        <v>1304</v>
      </c>
      <c r="N301" s="2" t="s">
        <v>127</v>
      </c>
      <c r="O301" s="3">
        <v>14.06</v>
      </c>
      <c r="P301" s="3">
        <f t="shared" si="1"/>
        <v>14.06</v>
      </c>
      <c r="Q301" s="47">
        <v>46147</v>
      </c>
      <c r="R301" s="3" t="s">
        <v>1201</v>
      </c>
      <c r="S301" s="3" t="s">
        <v>353</v>
      </c>
      <c r="T301" s="47">
        <v>46147</v>
      </c>
      <c r="U301" s="47">
        <v>46147</v>
      </c>
      <c r="V301" s="3" t="s">
        <v>1305</v>
      </c>
      <c r="W301" s="3" t="s">
        <v>40</v>
      </c>
      <c r="X301" s="2" t="s">
        <v>37</v>
      </c>
    </row>
    <row r="302" spans="1:24" hidden="1" x14ac:dyDescent="0.3">
      <c r="A302" s="2">
        <v>304</v>
      </c>
      <c r="B302" s="2" t="s">
        <v>1306</v>
      </c>
      <c r="C302" s="50" t="s">
        <v>1307</v>
      </c>
      <c r="D302" s="2" t="s">
        <v>119</v>
      </c>
      <c r="E302" s="2" t="s">
        <v>470</v>
      </c>
      <c r="F302" s="2" t="s">
        <v>140</v>
      </c>
      <c r="G302" s="2" t="s">
        <v>714</v>
      </c>
      <c r="H302" s="3"/>
      <c r="I302" s="2" t="s">
        <v>1307</v>
      </c>
      <c r="J302" s="2" t="s">
        <v>127</v>
      </c>
      <c r="K302" s="2" t="s">
        <v>1308</v>
      </c>
      <c r="N302" s="2" t="s">
        <v>127</v>
      </c>
      <c r="O302" s="3">
        <v>14.26</v>
      </c>
      <c r="P302" s="3">
        <f t="shared" si="1"/>
        <v>14.26</v>
      </c>
      <c r="Q302" s="47">
        <v>46147</v>
      </c>
      <c r="R302" s="3" t="s">
        <v>1201</v>
      </c>
      <c r="S302" s="3" t="s">
        <v>353</v>
      </c>
      <c r="T302" s="47">
        <v>46147</v>
      </c>
      <c r="U302" s="47">
        <v>46147</v>
      </c>
      <c r="V302" s="3" t="s">
        <v>1309</v>
      </c>
      <c r="W302" s="3" t="s">
        <v>40</v>
      </c>
      <c r="X302" s="2" t="s">
        <v>37</v>
      </c>
    </row>
    <row r="303" spans="1:24" hidden="1" x14ac:dyDescent="0.3">
      <c r="A303" s="2">
        <v>305</v>
      </c>
      <c r="B303" s="2" t="s">
        <v>1310</v>
      </c>
      <c r="C303" s="50" t="s">
        <v>1311</v>
      </c>
      <c r="D303" s="2" t="s">
        <v>119</v>
      </c>
      <c r="E303" s="2" t="s">
        <v>470</v>
      </c>
      <c r="F303" s="2" t="s">
        <v>121</v>
      </c>
      <c r="G303" s="2" t="s">
        <v>553</v>
      </c>
      <c r="H303" s="3"/>
      <c r="I303" s="2" t="s">
        <v>1311</v>
      </c>
      <c r="J303" s="2" t="s">
        <v>127</v>
      </c>
      <c r="K303" s="2" t="s">
        <v>1312</v>
      </c>
      <c r="N303" s="2" t="s">
        <v>127</v>
      </c>
      <c r="O303" s="3">
        <v>34.630000000000003</v>
      </c>
      <c r="P303" s="3">
        <f t="shared" si="1"/>
        <v>34.630000000000003</v>
      </c>
      <c r="Q303" s="47">
        <v>46147</v>
      </c>
      <c r="R303" s="3" t="s">
        <v>1201</v>
      </c>
      <c r="S303" s="3" t="s">
        <v>353</v>
      </c>
      <c r="T303" s="47">
        <v>46147</v>
      </c>
      <c r="U303" s="47">
        <v>46147</v>
      </c>
      <c r="V303" s="3" t="s">
        <v>1313</v>
      </c>
      <c r="W303" s="3" t="s">
        <v>40</v>
      </c>
      <c r="X303" s="2" t="s">
        <v>37</v>
      </c>
    </row>
    <row r="304" spans="1:24" hidden="1" x14ac:dyDescent="0.3">
      <c r="A304" s="2">
        <v>306</v>
      </c>
      <c r="B304" s="2" t="s">
        <v>1314</v>
      </c>
      <c r="C304" s="50" t="s">
        <v>1315</v>
      </c>
      <c r="D304" s="2" t="s">
        <v>119</v>
      </c>
      <c r="E304" s="2" t="s">
        <v>470</v>
      </c>
      <c r="F304" s="2" t="s">
        <v>121</v>
      </c>
      <c r="G304" s="2" t="s">
        <v>553</v>
      </c>
      <c r="H304" s="3"/>
      <c r="I304" s="2" t="s">
        <v>1315</v>
      </c>
      <c r="J304" s="2" t="s">
        <v>556</v>
      </c>
      <c r="K304" s="2" t="s">
        <v>1316</v>
      </c>
      <c r="N304" s="2" t="s">
        <v>556</v>
      </c>
      <c r="O304" s="3">
        <v>1.51</v>
      </c>
      <c r="P304" s="3">
        <f t="shared" si="1"/>
        <v>1.51</v>
      </c>
      <c r="Q304" s="47">
        <v>46147</v>
      </c>
      <c r="R304" s="3" t="s">
        <v>1201</v>
      </c>
      <c r="S304" s="3" t="s">
        <v>353</v>
      </c>
      <c r="T304" s="47">
        <v>46147</v>
      </c>
      <c r="U304" s="47">
        <v>46147</v>
      </c>
      <c r="V304" s="3" t="s">
        <v>1317</v>
      </c>
      <c r="W304" s="3" t="s">
        <v>40</v>
      </c>
      <c r="X304" s="2" t="s">
        <v>37</v>
      </c>
    </row>
    <row r="305" spans="1:24" hidden="1" x14ac:dyDescent="0.3">
      <c r="A305" s="2">
        <v>307</v>
      </c>
      <c r="B305" s="2" t="s">
        <v>1318</v>
      </c>
      <c r="C305" s="50" t="s">
        <v>1319</v>
      </c>
      <c r="D305" s="2" t="s">
        <v>119</v>
      </c>
      <c r="E305" s="2" t="s">
        <v>470</v>
      </c>
      <c r="F305" s="2" t="s">
        <v>121</v>
      </c>
      <c r="G305" s="2" t="s">
        <v>706</v>
      </c>
      <c r="H305" s="3"/>
      <c r="I305" s="2" t="s">
        <v>1319</v>
      </c>
      <c r="J305" s="2" t="s">
        <v>127</v>
      </c>
      <c r="K305" s="2" t="s">
        <v>1320</v>
      </c>
      <c r="N305" s="2" t="s">
        <v>127</v>
      </c>
      <c r="O305" s="3">
        <v>11.635</v>
      </c>
      <c r="P305" s="3">
        <f t="shared" si="1"/>
        <v>11.635</v>
      </c>
      <c r="Q305" s="47">
        <v>46147</v>
      </c>
      <c r="R305" s="3" t="s">
        <v>1201</v>
      </c>
      <c r="S305" s="3" t="s">
        <v>353</v>
      </c>
      <c r="T305" s="47">
        <v>46147</v>
      </c>
      <c r="U305" s="47">
        <v>46147</v>
      </c>
      <c r="V305" s="3" t="s">
        <v>1321</v>
      </c>
      <c r="W305" s="3" t="s">
        <v>40</v>
      </c>
      <c r="X305" s="2" t="s">
        <v>37</v>
      </c>
    </row>
    <row r="306" spans="1:24" hidden="1" x14ac:dyDescent="0.3">
      <c r="A306" s="2">
        <v>308</v>
      </c>
      <c r="B306" s="2" t="s">
        <v>1322</v>
      </c>
      <c r="C306" s="50" t="s">
        <v>1323</v>
      </c>
      <c r="D306" s="2" t="s">
        <v>119</v>
      </c>
      <c r="E306" s="2" t="s">
        <v>470</v>
      </c>
      <c r="F306" s="2" t="s">
        <v>140</v>
      </c>
      <c r="G306" s="2" t="s">
        <v>501</v>
      </c>
      <c r="H306" s="3"/>
      <c r="I306" s="2" t="s">
        <v>1323</v>
      </c>
      <c r="J306" s="2" t="s">
        <v>127</v>
      </c>
      <c r="N306" s="2" t="s">
        <v>127</v>
      </c>
      <c r="O306" s="3">
        <v>1.5119</v>
      </c>
      <c r="P306" s="3">
        <f t="shared" si="1"/>
        <v>1.5119</v>
      </c>
      <c r="Q306" s="47">
        <v>46147</v>
      </c>
      <c r="R306" s="3" t="s">
        <v>1201</v>
      </c>
      <c r="S306" s="3" t="s">
        <v>353</v>
      </c>
      <c r="T306" s="47">
        <v>46147</v>
      </c>
      <c r="U306" s="47">
        <v>46147</v>
      </c>
      <c r="V306" s="3" t="s">
        <v>1324</v>
      </c>
      <c r="W306" s="3" t="s">
        <v>40</v>
      </c>
      <c r="X306" s="2" t="s">
        <v>37</v>
      </c>
    </row>
    <row r="307" spans="1:24" hidden="1" x14ac:dyDescent="0.3">
      <c r="A307" s="2">
        <v>309</v>
      </c>
      <c r="B307" s="2" t="s">
        <v>1325</v>
      </c>
      <c r="C307" s="50" t="s">
        <v>1326</v>
      </c>
      <c r="D307" s="2" t="s">
        <v>119</v>
      </c>
      <c r="E307" s="2" t="s">
        <v>470</v>
      </c>
      <c r="F307" s="2" t="s">
        <v>140</v>
      </c>
      <c r="G307" s="2" t="s">
        <v>513</v>
      </c>
      <c r="H307" s="3"/>
      <c r="I307" s="2" t="s">
        <v>1326</v>
      </c>
      <c r="J307" s="2" t="s">
        <v>127</v>
      </c>
      <c r="K307" s="2" t="s">
        <v>1327</v>
      </c>
      <c r="N307" s="2" t="s">
        <v>127</v>
      </c>
      <c r="O307" s="3">
        <v>0.58489999999999998</v>
      </c>
      <c r="P307" s="3">
        <f t="shared" si="1"/>
        <v>0.58489999999999998</v>
      </c>
      <c r="Q307" s="47">
        <v>46147</v>
      </c>
      <c r="R307" s="3" t="s">
        <v>1201</v>
      </c>
      <c r="S307" s="3" t="s">
        <v>353</v>
      </c>
      <c r="T307" s="47">
        <v>46147</v>
      </c>
      <c r="U307" s="47">
        <v>46147</v>
      </c>
      <c r="V307" s="3" t="s">
        <v>1328</v>
      </c>
      <c r="W307" s="3" t="s">
        <v>40</v>
      </c>
      <c r="X307" s="2" t="s">
        <v>37</v>
      </c>
    </row>
    <row r="308" spans="1:24" hidden="1" x14ac:dyDescent="0.3">
      <c r="A308" s="2">
        <v>310</v>
      </c>
      <c r="B308" s="2" t="s">
        <v>1329</v>
      </c>
      <c r="C308" s="50" t="s">
        <v>1330</v>
      </c>
      <c r="D308" s="2" t="s">
        <v>119</v>
      </c>
      <c r="E308" s="2" t="s">
        <v>470</v>
      </c>
      <c r="F308" s="2" t="s">
        <v>121</v>
      </c>
      <c r="G308" s="2" t="s">
        <v>1331</v>
      </c>
      <c r="H308" s="3"/>
      <c r="I308" s="2" t="s">
        <v>1330</v>
      </c>
      <c r="J308" s="2" t="s">
        <v>127</v>
      </c>
      <c r="K308" s="2" t="s">
        <v>1332</v>
      </c>
      <c r="N308" s="2" t="s">
        <v>127</v>
      </c>
      <c r="O308" s="3">
        <v>13.69</v>
      </c>
      <c r="P308" s="3">
        <f t="shared" si="1"/>
        <v>13.69</v>
      </c>
      <c r="Q308" s="47">
        <v>46147</v>
      </c>
      <c r="R308" s="3" t="s">
        <v>1201</v>
      </c>
      <c r="S308" s="3" t="s">
        <v>353</v>
      </c>
      <c r="T308" s="47">
        <v>46147</v>
      </c>
      <c r="U308" s="47">
        <v>46147</v>
      </c>
      <c r="V308" s="3" t="s">
        <v>1333</v>
      </c>
      <c r="W308" s="3" t="s">
        <v>40</v>
      </c>
      <c r="X308" s="2" t="s">
        <v>37</v>
      </c>
    </row>
    <row r="309" spans="1:24" hidden="1" x14ac:dyDescent="0.3">
      <c r="A309" s="2">
        <v>311</v>
      </c>
      <c r="B309" s="2" t="s">
        <v>1334</v>
      </c>
      <c r="C309" s="50" t="s">
        <v>1335</v>
      </c>
      <c r="D309" s="2" t="s">
        <v>119</v>
      </c>
      <c r="E309" s="2" t="s">
        <v>470</v>
      </c>
      <c r="F309" s="2" t="s">
        <v>121</v>
      </c>
      <c r="G309" s="2" t="s">
        <v>714</v>
      </c>
      <c r="H309" s="3"/>
      <c r="I309" s="2" t="s">
        <v>1335</v>
      </c>
      <c r="J309" s="2" t="s">
        <v>127</v>
      </c>
      <c r="K309" s="2" t="s">
        <v>1336</v>
      </c>
      <c r="N309" s="2" t="s">
        <v>127</v>
      </c>
      <c r="O309" s="3">
        <v>7.16</v>
      </c>
      <c r="P309" s="3">
        <f t="shared" si="1"/>
        <v>7.16</v>
      </c>
      <c r="Q309" s="47">
        <v>46147</v>
      </c>
      <c r="R309" s="3" t="s">
        <v>1201</v>
      </c>
      <c r="S309" s="3" t="s">
        <v>353</v>
      </c>
      <c r="T309" s="47">
        <v>46147</v>
      </c>
      <c r="U309" s="47">
        <v>46147</v>
      </c>
      <c r="V309" s="3" t="s">
        <v>1337</v>
      </c>
      <c r="W309" s="3" t="s">
        <v>40</v>
      </c>
      <c r="X309" s="2" t="s">
        <v>37</v>
      </c>
    </row>
    <row r="310" spans="1:24" hidden="1" x14ac:dyDescent="0.3">
      <c r="A310" s="2">
        <v>312</v>
      </c>
      <c r="B310" s="2" t="s">
        <v>1338</v>
      </c>
      <c r="C310" s="50" t="s">
        <v>1339</v>
      </c>
      <c r="D310" s="2" t="s">
        <v>119</v>
      </c>
      <c r="E310" s="2" t="s">
        <v>470</v>
      </c>
      <c r="F310" s="2" t="s">
        <v>121</v>
      </c>
      <c r="G310" s="2" t="s">
        <v>714</v>
      </c>
      <c r="H310" s="3"/>
      <c r="I310" s="2" t="s">
        <v>1339</v>
      </c>
      <c r="J310" s="2" t="s">
        <v>127</v>
      </c>
      <c r="N310" s="2" t="s">
        <v>127</v>
      </c>
      <c r="O310" s="3">
        <v>15</v>
      </c>
      <c r="P310" s="3">
        <f t="shared" si="1"/>
        <v>15</v>
      </c>
      <c r="Q310" s="47">
        <v>46147</v>
      </c>
      <c r="R310" s="3" t="s">
        <v>1201</v>
      </c>
      <c r="S310" s="3" t="s">
        <v>353</v>
      </c>
      <c r="T310" s="47">
        <v>46147</v>
      </c>
      <c r="U310" s="47">
        <v>46147</v>
      </c>
      <c r="V310" s="3" t="s">
        <v>1340</v>
      </c>
      <c r="W310" s="3" t="s">
        <v>40</v>
      </c>
      <c r="X310" s="2" t="s">
        <v>37</v>
      </c>
    </row>
    <row r="311" spans="1:24" hidden="1" x14ac:dyDescent="0.3">
      <c r="A311" s="2">
        <v>313</v>
      </c>
      <c r="B311" s="2" t="s">
        <v>1341</v>
      </c>
      <c r="C311" s="50" t="s">
        <v>1342</v>
      </c>
      <c r="D311" s="2" t="s">
        <v>119</v>
      </c>
      <c r="E311" s="2" t="s">
        <v>470</v>
      </c>
      <c r="F311" s="2" t="s">
        <v>121</v>
      </c>
      <c r="G311" s="2" t="s">
        <v>553</v>
      </c>
      <c r="H311" s="3"/>
      <c r="I311" s="2" t="s">
        <v>1342</v>
      </c>
      <c r="J311" s="2" t="s">
        <v>556</v>
      </c>
      <c r="K311" s="2" t="s">
        <v>1343</v>
      </c>
      <c r="N311" s="2" t="s">
        <v>556</v>
      </c>
      <c r="O311" s="3">
        <v>3.6</v>
      </c>
      <c r="P311" s="3">
        <f t="shared" si="1"/>
        <v>3.6</v>
      </c>
      <c r="Q311" s="47">
        <v>46147</v>
      </c>
      <c r="R311" s="3" t="s">
        <v>1201</v>
      </c>
      <c r="S311" s="3" t="s">
        <v>353</v>
      </c>
      <c r="T311" s="47">
        <v>46147</v>
      </c>
      <c r="U311" s="47">
        <v>46147</v>
      </c>
      <c r="V311" s="3" t="s">
        <v>1344</v>
      </c>
      <c r="W311" s="3" t="s">
        <v>40</v>
      </c>
      <c r="X311" s="2" t="s">
        <v>37</v>
      </c>
    </row>
    <row r="312" spans="1:24" hidden="1" x14ac:dyDescent="0.3">
      <c r="A312" s="2">
        <v>314</v>
      </c>
      <c r="B312" s="2" t="s">
        <v>1345</v>
      </c>
      <c r="C312" s="50" t="s">
        <v>1346</v>
      </c>
      <c r="D312" s="2" t="s">
        <v>119</v>
      </c>
      <c r="E312" s="2" t="s">
        <v>470</v>
      </c>
      <c r="F312" s="2" t="s">
        <v>121</v>
      </c>
      <c r="G312" s="2" t="s">
        <v>553</v>
      </c>
      <c r="H312" s="3"/>
      <c r="I312" s="2" t="s">
        <v>1346</v>
      </c>
      <c r="J312" s="2" t="s">
        <v>556</v>
      </c>
      <c r="N312" s="2" t="s">
        <v>556</v>
      </c>
      <c r="O312" s="3">
        <v>0.56999999999999995</v>
      </c>
      <c r="P312" s="3">
        <f t="shared" si="1"/>
        <v>0.56999999999999995</v>
      </c>
      <c r="Q312" s="47">
        <v>46147</v>
      </c>
      <c r="R312" s="3" t="s">
        <v>1201</v>
      </c>
      <c r="S312" s="3" t="s">
        <v>353</v>
      </c>
      <c r="T312" s="47">
        <v>46147</v>
      </c>
      <c r="U312" s="47">
        <v>46147</v>
      </c>
      <c r="V312" s="3" t="s">
        <v>1347</v>
      </c>
      <c r="W312" s="3" t="s">
        <v>40</v>
      </c>
      <c r="X312" s="2" t="s">
        <v>37</v>
      </c>
    </row>
    <row r="313" spans="1:24" hidden="1" x14ac:dyDescent="0.3">
      <c r="A313" s="2">
        <v>315</v>
      </c>
      <c r="B313" s="2" t="s">
        <v>1348</v>
      </c>
      <c r="C313" s="50" t="s">
        <v>1349</v>
      </c>
      <c r="D313" s="2" t="s">
        <v>119</v>
      </c>
      <c r="E313" s="2" t="s">
        <v>470</v>
      </c>
      <c r="F313" s="2" t="s">
        <v>121</v>
      </c>
      <c r="G313" s="2" t="s">
        <v>553</v>
      </c>
      <c r="H313" s="3"/>
      <c r="I313" s="2" t="s">
        <v>1349</v>
      </c>
      <c r="J313" s="2" t="s">
        <v>556</v>
      </c>
      <c r="N313" s="2" t="s">
        <v>556</v>
      </c>
      <c r="O313" s="3">
        <v>0.88</v>
      </c>
      <c r="P313" s="3">
        <f t="shared" si="1"/>
        <v>0.88</v>
      </c>
      <c r="Q313" s="47">
        <v>46147</v>
      </c>
      <c r="R313" s="3" t="s">
        <v>1201</v>
      </c>
      <c r="S313" s="3" t="s">
        <v>353</v>
      </c>
      <c r="T313" s="47">
        <v>46147</v>
      </c>
      <c r="U313" s="47">
        <v>46147</v>
      </c>
      <c r="V313" s="3" t="s">
        <v>1350</v>
      </c>
      <c r="W313" s="3" t="s">
        <v>40</v>
      </c>
      <c r="X313" s="2" t="s">
        <v>37</v>
      </c>
    </row>
    <row r="314" spans="1:24" hidden="1" x14ac:dyDescent="0.3">
      <c r="A314" s="2">
        <v>316</v>
      </c>
      <c r="B314" s="2" t="s">
        <v>1351</v>
      </c>
      <c r="C314" s="50" t="s">
        <v>1352</v>
      </c>
      <c r="D314" s="2" t="s">
        <v>119</v>
      </c>
      <c r="E314" s="2" t="s">
        <v>470</v>
      </c>
      <c r="F314" s="2" t="s">
        <v>140</v>
      </c>
      <c r="G314" s="2" t="s">
        <v>1353</v>
      </c>
      <c r="H314" s="3"/>
      <c r="I314" s="2" t="s">
        <v>1352</v>
      </c>
      <c r="J314" s="2" t="s">
        <v>127</v>
      </c>
      <c r="K314" s="2" t="s">
        <v>1354</v>
      </c>
      <c r="N314" s="2" t="s">
        <v>127</v>
      </c>
      <c r="O314" s="3">
        <v>0.89</v>
      </c>
      <c r="P314" s="3">
        <f t="shared" si="1"/>
        <v>0.89</v>
      </c>
      <c r="Q314" s="47">
        <v>46147</v>
      </c>
      <c r="R314" s="3" t="s">
        <v>1201</v>
      </c>
      <c r="S314" s="3" t="s">
        <v>353</v>
      </c>
      <c r="T314" s="47">
        <v>46147</v>
      </c>
      <c r="U314" s="47">
        <v>46147</v>
      </c>
      <c r="V314" s="3" t="s">
        <v>1355</v>
      </c>
      <c r="W314" s="3" t="s">
        <v>40</v>
      </c>
      <c r="X314" s="2" t="s">
        <v>37</v>
      </c>
    </row>
    <row r="315" spans="1:24" hidden="1" x14ac:dyDescent="0.3">
      <c r="A315" s="2">
        <v>317</v>
      </c>
      <c r="B315" s="2" t="s">
        <v>1356</v>
      </c>
      <c r="C315" s="50" t="s">
        <v>1357</v>
      </c>
      <c r="D315" s="2" t="s">
        <v>119</v>
      </c>
      <c r="E315" s="2" t="s">
        <v>470</v>
      </c>
      <c r="F315" s="2" t="s">
        <v>121</v>
      </c>
      <c r="G315" s="2" t="s">
        <v>603</v>
      </c>
      <c r="H315" s="3"/>
      <c r="I315" s="2" t="s">
        <v>1357</v>
      </c>
      <c r="J315" s="2" t="s">
        <v>127</v>
      </c>
      <c r="K315" s="2" t="s">
        <v>1219</v>
      </c>
      <c r="N315" s="2" t="s">
        <v>127</v>
      </c>
      <c r="O315" s="3">
        <v>0.64239999999999997</v>
      </c>
      <c r="P315" s="3">
        <f t="shared" si="1"/>
        <v>0.64239999999999997</v>
      </c>
      <c r="Q315" s="47">
        <v>46147</v>
      </c>
      <c r="R315" s="3" t="s">
        <v>1201</v>
      </c>
      <c r="S315" s="3" t="s">
        <v>353</v>
      </c>
      <c r="T315" s="47">
        <v>46147</v>
      </c>
      <c r="U315" s="47">
        <v>46147</v>
      </c>
      <c r="V315" s="3" t="s">
        <v>1358</v>
      </c>
      <c r="W315" s="3" t="s">
        <v>40</v>
      </c>
      <c r="X315" s="2" t="s">
        <v>37</v>
      </c>
    </row>
    <row r="316" spans="1:24" hidden="1" x14ac:dyDescent="0.3">
      <c r="A316" s="2">
        <v>318</v>
      </c>
      <c r="B316" s="2" t="s">
        <v>1359</v>
      </c>
      <c r="C316" s="50" t="s">
        <v>1360</v>
      </c>
      <c r="D316" s="2" t="s">
        <v>119</v>
      </c>
      <c r="E316" s="2" t="s">
        <v>120</v>
      </c>
      <c r="F316" s="2" t="s">
        <v>121</v>
      </c>
      <c r="G316" s="2" t="s">
        <v>122</v>
      </c>
      <c r="H316" s="3"/>
      <c r="I316" s="2" t="s">
        <v>1360</v>
      </c>
      <c r="J316" s="2" t="s">
        <v>127</v>
      </c>
      <c r="K316" s="2" t="s">
        <v>1361</v>
      </c>
      <c r="N316" s="2" t="s">
        <v>127</v>
      </c>
      <c r="O316" s="3">
        <v>14.228820000000001</v>
      </c>
      <c r="P316" s="3">
        <f t="shared" si="1"/>
        <v>14.228820000000001</v>
      </c>
      <c r="Q316" s="47">
        <v>46147</v>
      </c>
      <c r="R316" s="3" t="s">
        <v>1201</v>
      </c>
      <c r="S316" s="3" t="s">
        <v>353</v>
      </c>
      <c r="T316" s="47">
        <v>46147</v>
      </c>
      <c r="U316" s="47">
        <v>46147</v>
      </c>
      <c r="V316" s="3" t="s">
        <v>1362</v>
      </c>
      <c r="W316" s="3" t="s">
        <v>40</v>
      </c>
      <c r="X316" s="2" t="s">
        <v>37</v>
      </c>
    </row>
    <row r="317" spans="1:24" hidden="1" x14ac:dyDescent="0.3">
      <c r="A317" s="2">
        <v>319</v>
      </c>
      <c r="B317" s="2" t="s">
        <v>1363</v>
      </c>
      <c r="C317" s="50" t="s">
        <v>1364</v>
      </c>
      <c r="D317" s="2" t="s">
        <v>119</v>
      </c>
      <c r="E317" s="2" t="s">
        <v>120</v>
      </c>
      <c r="F317" s="2" t="s">
        <v>140</v>
      </c>
      <c r="G317" s="2" t="s">
        <v>174</v>
      </c>
      <c r="H317" s="3"/>
      <c r="I317" s="2" t="s">
        <v>1364</v>
      </c>
      <c r="J317" s="2" t="s">
        <v>127</v>
      </c>
      <c r="K317" s="2" t="s">
        <v>1365</v>
      </c>
      <c r="N317" s="2" t="s">
        <v>127</v>
      </c>
      <c r="O317" s="3">
        <v>0.87</v>
      </c>
      <c r="P317" s="3">
        <f t="shared" si="1"/>
        <v>0.87</v>
      </c>
      <c r="Q317" s="47">
        <v>46147</v>
      </c>
      <c r="R317" s="3" t="s">
        <v>1201</v>
      </c>
      <c r="S317" s="3" t="s">
        <v>353</v>
      </c>
      <c r="T317" s="47">
        <v>46147</v>
      </c>
      <c r="U317" s="47">
        <v>46147</v>
      </c>
      <c r="V317" s="3" t="s">
        <v>1366</v>
      </c>
      <c r="W317" s="3" t="s">
        <v>40</v>
      </c>
      <c r="X317" s="2" t="s">
        <v>37</v>
      </c>
    </row>
    <row r="318" spans="1:24" hidden="1" x14ac:dyDescent="0.3">
      <c r="A318" s="2">
        <v>320</v>
      </c>
      <c r="B318" s="2" t="s">
        <v>1367</v>
      </c>
      <c r="C318" s="50" t="s">
        <v>1368</v>
      </c>
      <c r="D318" s="2" t="s">
        <v>119</v>
      </c>
      <c r="E318" s="2" t="s">
        <v>120</v>
      </c>
      <c r="F318" s="2" t="s">
        <v>140</v>
      </c>
      <c r="G318" s="2" t="s">
        <v>164</v>
      </c>
      <c r="H318" s="3"/>
      <c r="I318" s="2" t="s">
        <v>1368</v>
      </c>
      <c r="J318" s="2" t="s">
        <v>127</v>
      </c>
      <c r="K318" s="2" t="s">
        <v>1369</v>
      </c>
      <c r="N318" s="2" t="s">
        <v>127</v>
      </c>
      <c r="O318" s="3">
        <v>0.68</v>
      </c>
      <c r="P318" s="3">
        <f t="shared" si="1"/>
        <v>0.68</v>
      </c>
      <c r="Q318" s="47">
        <v>46147</v>
      </c>
      <c r="R318" s="3" t="s">
        <v>1201</v>
      </c>
      <c r="S318" s="3" t="s">
        <v>353</v>
      </c>
      <c r="T318" s="47">
        <v>46147</v>
      </c>
      <c r="U318" s="47">
        <v>46147</v>
      </c>
      <c r="V318" s="3" t="s">
        <v>1370</v>
      </c>
      <c r="W318" s="3" t="s">
        <v>40</v>
      </c>
      <c r="X318" s="2" t="s">
        <v>37</v>
      </c>
    </row>
    <row r="319" spans="1:24" hidden="1" x14ac:dyDescent="0.3">
      <c r="A319" s="2">
        <v>321</v>
      </c>
      <c r="B319" s="2" t="s">
        <v>1371</v>
      </c>
      <c r="C319" s="50" t="s">
        <v>1372</v>
      </c>
      <c r="D319" s="2" t="s">
        <v>119</v>
      </c>
      <c r="E319" s="2" t="s">
        <v>120</v>
      </c>
      <c r="F319" s="2" t="s">
        <v>121</v>
      </c>
      <c r="G319" s="2" t="s">
        <v>122</v>
      </c>
      <c r="H319" s="3"/>
      <c r="I319" s="2" t="s">
        <v>1372</v>
      </c>
      <c r="J319" s="2" t="s">
        <v>127</v>
      </c>
      <c r="K319" s="2" t="s">
        <v>1373</v>
      </c>
      <c r="N319" s="2" t="s">
        <v>127</v>
      </c>
      <c r="O319" s="3">
        <v>3.5496400000000001</v>
      </c>
      <c r="P319" s="3">
        <f t="shared" si="1"/>
        <v>3.5496400000000001</v>
      </c>
      <c r="Q319" s="47">
        <v>46147</v>
      </c>
      <c r="R319" s="3" t="s">
        <v>1201</v>
      </c>
      <c r="S319" s="3" t="s">
        <v>353</v>
      </c>
      <c r="T319" s="47">
        <v>46147</v>
      </c>
      <c r="U319" s="47">
        <v>46147</v>
      </c>
      <c r="V319" s="3" t="s">
        <v>1374</v>
      </c>
      <c r="W319" s="3" t="s">
        <v>40</v>
      </c>
      <c r="X319" s="2" t="s">
        <v>37</v>
      </c>
    </row>
    <row r="320" spans="1:24" hidden="1" x14ac:dyDescent="0.3">
      <c r="A320" s="2">
        <v>322</v>
      </c>
      <c r="B320" s="2" t="s">
        <v>1375</v>
      </c>
      <c r="C320" s="50" t="s">
        <v>1376</v>
      </c>
      <c r="D320" s="2" t="s">
        <v>119</v>
      </c>
      <c r="E320" s="2" t="s">
        <v>120</v>
      </c>
      <c r="F320" s="2" t="s">
        <v>140</v>
      </c>
      <c r="G320" s="2" t="s">
        <v>141</v>
      </c>
      <c r="H320" s="3"/>
      <c r="I320" s="2" t="s">
        <v>1376</v>
      </c>
      <c r="J320" s="2" t="s">
        <v>127</v>
      </c>
      <c r="K320" s="2" t="s">
        <v>1377</v>
      </c>
      <c r="N320" s="2" t="s">
        <v>127</v>
      </c>
      <c r="O320" s="3">
        <v>0.24549000000000001</v>
      </c>
      <c r="P320" s="3">
        <f t="shared" si="1"/>
        <v>0.24549000000000001</v>
      </c>
      <c r="Q320" s="47">
        <v>46147</v>
      </c>
      <c r="R320" s="3" t="s">
        <v>1201</v>
      </c>
      <c r="S320" s="3" t="s">
        <v>353</v>
      </c>
      <c r="T320" s="47">
        <v>46147</v>
      </c>
      <c r="U320" s="47">
        <v>46147</v>
      </c>
      <c r="V320" s="3" t="s">
        <v>1378</v>
      </c>
      <c r="W320" s="3" t="s">
        <v>40</v>
      </c>
      <c r="X320" s="2" t="s">
        <v>37</v>
      </c>
    </row>
    <row r="321" spans="1:24" hidden="1" x14ac:dyDescent="0.3">
      <c r="A321" s="2">
        <v>323</v>
      </c>
      <c r="B321" s="2" t="s">
        <v>1379</v>
      </c>
      <c r="C321" s="50" t="s">
        <v>1380</v>
      </c>
      <c r="D321" s="2" t="s">
        <v>119</v>
      </c>
      <c r="E321" s="2" t="s">
        <v>120</v>
      </c>
      <c r="F321" s="2" t="s">
        <v>140</v>
      </c>
      <c r="G321" s="2" t="s">
        <v>153</v>
      </c>
      <c r="H321" s="3"/>
      <c r="I321" s="2" t="s">
        <v>1380</v>
      </c>
      <c r="J321" s="2" t="s">
        <v>127</v>
      </c>
      <c r="K321" s="2" t="s">
        <v>1381</v>
      </c>
      <c r="N321" s="2" t="s">
        <v>127</v>
      </c>
      <c r="O321" s="3">
        <v>0.24323</v>
      </c>
      <c r="P321" s="3">
        <f t="shared" si="1"/>
        <v>0.24323</v>
      </c>
      <c r="Q321" s="47">
        <v>46147</v>
      </c>
      <c r="R321" s="3" t="s">
        <v>1201</v>
      </c>
      <c r="S321" s="3" t="s">
        <v>353</v>
      </c>
      <c r="T321" s="47">
        <v>46147</v>
      </c>
      <c r="U321" s="47">
        <v>46147</v>
      </c>
      <c r="V321" s="3" t="s">
        <v>1382</v>
      </c>
      <c r="W321" s="3" t="s">
        <v>40</v>
      </c>
      <c r="X321" s="2" t="s">
        <v>37</v>
      </c>
    </row>
    <row r="322" spans="1:24" hidden="1" x14ac:dyDescent="0.3">
      <c r="A322" s="2">
        <v>324</v>
      </c>
      <c r="B322" s="2" t="s">
        <v>1383</v>
      </c>
      <c r="C322" s="50" t="s">
        <v>1384</v>
      </c>
      <c r="D322" s="2" t="s">
        <v>119</v>
      </c>
      <c r="E322" s="2" t="s">
        <v>120</v>
      </c>
      <c r="F322" s="2" t="s">
        <v>140</v>
      </c>
      <c r="G322" s="2" t="s">
        <v>141</v>
      </c>
      <c r="H322" s="3"/>
      <c r="I322" s="2" t="s">
        <v>1384</v>
      </c>
      <c r="J322" s="2" t="s">
        <v>127</v>
      </c>
      <c r="K322" s="2" t="s">
        <v>1385</v>
      </c>
      <c r="N322" s="2" t="s">
        <v>127</v>
      </c>
      <c r="O322" s="3">
        <v>0.29421999999999998</v>
      </c>
      <c r="P322" s="3">
        <f t="shared" si="1"/>
        <v>0.29421999999999998</v>
      </c>
      <c r="Q322" s="47">
        <v>46147</v>
      </c>
      <c r="R322" s="3" t="s">
        <v>1201</v>
      </c>
      <c r="S322" s="3" t="s">
        <v>353</v>
      </c>
      <c r="T322" s="47">
        <v>46147</v>
      </c>
      <c r="U322" s="47">
        <v>46147</v>
      </c>
      <c r="V322" s="3" t="s">
        <v>1386</v>
      </c>
      <c r="W322" s="3" t="s">
        <v>40</v>
      </c>
      <c r="X322" s="2" t="s">
        <v>37</v>
      </c>
    </row>
    <row r="323" spans="1:24" hidden="1" x14ac:dyDescent="0.3">
      <c r="A323" s="2">
        <v>325</v>
      </c>
      <c r="B323" s="2" t="s">
        <v>1387</v>
      </c>
      <c r="C323" s="50" t="s">
        <v>1388</v>
      </c>
      <c r="D323" s="2" t="s">
        <v>119</v>
      </c>
      <c r="E323" s="2" t="s">
        <v>120</v>
      </c>
      <c r="F323" s="2" t="s">
        <v>140</v>
      </c>
      <c r="G323" s="2" t="s">
        <v>141</v>
      </c>
      <c r="H323" s="3"/>
      <c r="I323" s="2" t="s">
        <v>1388</v>
      </c>
      <c r="J323" s="2" t="s">
        <v>127</v>
      </c>
      <c r="K323" s="2" t="s">
        <v>1389</v>
      </c>
      <c r="N323" s="2" t="s">
        <v>127</v>
      </c>
      <c r="O323" s="3">
        <v>2.61</v>
      </c>
      <c r="P323" s="3">
        <f t="shared" si="1"/>
        <v>2.61</v>
      </c>
      <c r="Q323" s="47">
        <v>46147</v>
      </c>
      <c r="R323" s="3" t="s">
        <v>1201</v>
      </c>
      <c r="S323" s="3" t="s">
        <v>353</v>
      </c>
      <c r="T323" s="47">
        <v>46147</v>
      </c>
      <c r="U323" s="47">
        <v>46147</v>
      </c>
      <c r="V323" s="3" t="s">
        <v>1390</v>
      </c>
      <c r="W323" s="3" t="s">
        <v>40</v>
      </c>
      <c r="X323" s="2" t="s">
        <v>37</v>
      </c>
    </row>
    <row r="324" spans="1:24" hidden="1" x14ac:dyDescent="0.3">
      <c r="A324" s="2">
        <v>326</v>
      </c>
      <c r="B324" s="2" t="s">
        <v>1391</v>
      </c>
      <c r="C324" s="50" t="s">
        <v>1392</v>
      </c>
      <c r="D324" s="2" t="s">
        <v>119</v>
      </c>
      <c r="E324" s="2" t="s">
        <v>120</v>
      </c>
      <c r="F324" s="2" t="s">
        <v>140</v>
      </c>
      <c r="G324" s="2" t="s">
        <v>187</v>
      </c>
      <c r="H324" s="3"/>
      <c r="I324" s="2" t="s">
        <v>1392</v>
      </c>
      <c r="J324" s="2" t="s">
        <v>127</v>
      </c>
      <c r="K324" s="2" t="s">
        <v>1389</v>
      </c>
      <c r="N324" s="2" t="s">
        <v>127</v>
      </c>
      <c r="O324" s="3">
        <v>0.99833000000000005</v>
      </c>
      <c r="P324" s="3">
        <f t="shared" si="1"/>
        <v>0.99833000000000005</v>
      </c>
      <c r="Q324" s="47">
        <v>46147</v>
      </c>
      <c r="R324" s="3" t="s">
        <v>1201</v>
      </c>
      <c r="S324" s="3" t="s">
        <v>353</v>
      </c>
      <c r="T324" s="47">
        <v>46147</v>
      </c>
      <c r="U324" s="47">
        <v>46147</v>
      </c>
      <c r="V324" s="3" t="s">
        <v>1393</v>
      </c>
      <c r="W324" s="3" t="s">
        <v>40</v>
      </c>
      <c r="X324" s="2" t="s">
        <v>37</v>
      </c>
    </row>
    <row r="325" spans="1:24" hidden="1" x14ac:dyDescent="0.3">
      <c r="A325" s="2">
        <v>327</v>
      </c>
      <c r="B325" s="2" t="s">
        <v>1394</v>
      </c>
      <c r="C325" s="50" t="s">
        <v>1395</v>
      </c>
      <c r="D325" s="2" t="s">
        <v>119</v>
      </c>
      <c r="E325" s="2" t="s">
        <v>120</v>
      </c>
      <c r="F325" s="2" t="s">
        <v>140</v>
      </c>
      <c r="G325" s="2" t="s">
        <v>187</v>
      </c>
      <c r="H325" s="3"/>
      <c r="I325" s="2" t="s">
        <v>1395</v>
      </c>
      <c r="J325" s="2" t="s">
        <v>127</v>
      </c>
      <c r="K325" s="2" t="s">
        <v>1389</v>
      </c>
      <c r="N325" s="2" t="s">
        <v>127</v>
      </c>
      <c r="O325" s="3">
        <v>0.94708999999999999</v>
      </c>
      <c r="P325" s="3">
        <f t="shared" si="1"/>
        <v>0.94708999999999999</v>
      </c>
      <c r="Q325" s="47">
        <v>46147</v>
      </c>
      <c r="R325" s="3" t="s">
        <v>1201</v>
      </c>
      <c r="S325" s="3" t="s">
        <v>353</v>
      </c>
      <c r="T325" s="47">
        <v>46147</v>
      </c>
      <c r="U325" s="47">
        <v>46147</v>
      </c>
      <c r="V325" s="3" t="s">
        <v>1396</v>
      </c>
      <c r="W325" s="3" t="s">
        <v>40</v>
      </c>
      <c r="X325" s="2" t="s">
        <v>37</v>
      </c>
    </row>
    <row r="326" spans="1:24" hidden="1" x14ac:dyDescent="0.3">
      <c r="A326" s="2">
        <v>328</v>
      </c>
      <c r="B326" s="2" t="s">
        <v>1397</v>
      </c>
      <c r="C326" s="50" t="s">
        <v>1398</v>
      </c>
      <c r="D326" s="2" t="s">
        <v>119</v>
      </c>
      <c r="E326" s="2" t="s">
        <v>120</v>
      </c>
      <c r="F326" s="2" t="s">
        <v>121</v>
      </c>
      <c r="G326" s="2" t="s">
        <v>740</v>
      </c>
      <c r="H326" s="3"/>
      <c r="I326" s="2" t="s">
        <v>1398</v>
      </c>
      <c r="J326" s="2" t="s">
        <v>127</v>
      </c>
      <c r="K326" s="2" t="s">
        <v>1381</v>
      </c>
      <c r="N326" s="2" t="s">
        <v>127</v>
      </c>
      <c r="O326" s="3">
        <v>5.91</v>
      </c>
      <c r="P326" s="3">
        <f t="shared" si="1"/>
        <v>5.91</v>
      </c>
      <c r="Q326" s="47">
        <v>46147</v>
      </c>
      <c r="R326" s="3" t="s">
        <v>1201</v>
      </c>
      <c r="S326" s="3" t="s">
        <v>353</v>
      </c>
      <c r="T326" s="47">
        <v>46147</v>
      </c>
      <c r="U326" s="47">
        <v>46147</v>
      </c>
      <c r="V326" s="3" t="s">
        <v>1399</v>
      </c>
      <c r="W326" s="3" t="s">
        <v>40</v>
      </c>
      <c r="X326" s="2" t="s">
        <v>37</v>
      </c>
    </row>
    <row r="327" spans="1:24" hidden="1" x14ac:dyDescent="0.3">
      <c r="A327" s="2">
        <v>329</v>
      </c>
      <c r="B327" s="2" t="s">
        <v>1400</v>
      </c>
      <c r="C327" s="50" t="s">
        <v>1401</v>
      </c>
      <c r="D327" s="2" t="s">
        <v>119</v>
      </c>
      <c r="E327" s="2" t="s">
        <v>120</v>
      </c>
      <c r="F327" s="2" t="s">
        <v>140</v>
      </c>
      <c r="G327" s="2" t="s">
        <v>141</v>
      </c>
      <c r="H327" s="3"/>
      <c r="I327" s="2" t="s">
        <v>1401</v>
      </c>
      <c r="J327" s="2" t="s">
        <v>127</v>
      </c>
      <c r="K327" s="2" t="s">
        <v>1402</v>
      </c>
      <c r="N327" s="2" t="s">
        <v>127</v>
      </c>
      <c r="O327" s="3">
        <v>1.45</v>
      </c>
      <c r="P327" s="3">
        <f t="shared" si="1"/>
        <v>1.45</v>
      </c>
      <c r="Q327" s="47">
        <v>46147</v>
      </c>
      <c r="R327" s="3" t="s">
        <v>1201</v>
      </c>
      <c r="S327" s="3" t="s">
        <v>353</v>
      </c>
      <c r="T327" s="47">
        <v>46147</v>
      </c>
      <c r="U327" s="47">
        <v>46147</v>
      </c>
      <c r="V327" s="3" t="s">
        <v>1403</v>
      </c>
      <c r="W327" s="3" t="s">
        <v>40</v>
      </c>
      <c r="X327" s="2" t="s">
        <v>37</v>
      </c>
    </row>
    <row r="328" spans="1:24" hidden="1" x14ac:dyDescent="0.3">
      <c r="A328" s="2">
        <v>330</v>
      </c>
      <c r="B328" s="2" t="s">
        <v>1404</v>
      </c>
      <c r="C328" s="50" t="s">
        <v>1405</v>
      </c>
      <c r="D328" s="2" t="s">
        <v>119</v>
      </c>
      <c r="E328" s="2" t="s">
        <v>120</v>
      </c>
      <c r="F328" s="2" t="s">
        <v>140</v>
      </c>
      <c r="G328" s="2" t="s">
        <v>164</v>
      </c>
      <c r="H328" s="3"/>
      <c r="I328" s="2" t="s">
        <v>1405</v>
      </c>
      <c r="J328" s="2" t="s">
        <v>127</v>
      </c>
      <c r="K328" s="2" t="s">
        <v>1381</v>
      </c>
      <c r="N328" s="2" t="s">
        <v>127</v>
      </c>
      <c r="O328" s="3">
        <v>0.64</v>
      </c>
      <c r="P328" s="3">
        <f t="shared" ref="P328:P359" si="2">IF(S328="No Incluye",O328,IF(S328="Incluye",O328/1.15,IF(S328="No Define",O328,"")))</f>
        <v>0.64</v>
      </c>
      <c r="Q328" s="47">
        <v>46147</v>
      </c>
      <c r="R328" s="3" t="s">
        <v>1201</v>
      </c>
      <c r="S328" s="3" t="s">
        <v>353</v>
      </c>
      <c r="T328" s="47">
        <v>46147</v>
      </c>
      <c r="U328" s="47">
        <v>46147</v>
      </c>
      <c r="V328" s="3" t="s">
        <v>1406</v>
      </c>
      <c r="W328" s="3" t="s">
        <v>40</v>
      </c>
      <c r="X328" s="2" t="s">
        <v>37</v>
      </c>
    </row>
    <row r="329" spans="1:24" hidden="1" x14ac:dyDescent="0.3">
      <c r="A329" s="2">
        <v>331</v>
      </c>
      <c r="B329" s="2" t="s">
        <v>1407</v>
      </c>
      <c r="C329" s="50" t="s">
        <v>1408</v>
      </c>
      <c r="D329" s="2" t="s">
        <v>119</v>
      </c>
      <c r="E329" s="2" t="s">
        <v>120</v>
      </c>
      <c r="F329" s="2" t="s">
        <v>140</v>
      </c>
      <c r="G329" s="2" t="s">
        <v>141</v>
      </c>
      <c r="H329" s="3"/>
      <c r="I329" s="2" t="s">
        <v>1408</v>
      </c>
      <c r="J329" s="2" t="s">
        <v>127</v>
      </c>
      <c r="K329" s="2" t="s">
        <v>1389</v>
      </c>
      <c r="N329" s="2" t="s">
        <v>127</v>
      </c>
      <c r="O329" s="3">
        <v>1.0389999999999999</v>
      </c>
      <c r="P329" s="3">
        <f t="shared" si="2"/>
        <v>1.0389999999999999</v>
      </c>
      <c r="Q329" s="47">
        <v>46147</v>
      </c>
      <c r="R329" s="3" t="s">
        <v>1201</v>
      </c>
      <c r="S329" s="3" t="s">
        <v>353</v>
      </c>
      <c r="T329" s="47">
        <v>46147</v>
      </c>
      <c r="U329" s="47">
        <v>46147</v>
      </c>
      <c r="V329" s="3" t="s">
        <v>1409</v>
      </c>
      <c r="W329" s="3" t="s">
        <v>40</v>
      </c>
      <c r="X329" s="2" t="s">
        <v>37</v>
      </c>
    </row>
    <row r="330" spans="1:24" hidden="1" x14ac:dyDescent="0.3">
      <c r="A330" s="2">
        <v>332</v>
      </c>
      <c r="B330" s="2" t="s">
        <v>1410</v>
      </c>
      <c r="C330" s="50" t="s">
        <v>1411</v>
      </c>
      <c r="D330" s="2" t="s">
        <v>119</v>
      </c>
      <c r="E330" s="2" t="s">
        <v>120</v>
      </c>
      <c r="F330" s="2" t="s">
        <v>121</v>
      </c>
      <c r="G330" s="2" t="s">
        <v>740</v>
      </c>
      <c r="H330" s="3"/>
      <c r="I330" s="2" t="s">
        <v>1411</v>
      </c>
      <c r="J330" s="2" t="s">
        <v>127</v>
      </c>
      <c r="K330" s="2" t="s">
        <v>1219</v>
      </c>
      <c r="N330" s="2" t="s">
        <v>127</v>
      </c>
      <c r="O330" s="3">
        <v>5.61</v>
      </c>
      <c r="P330" s="3">
        <f t="shared" si="2"/>
        <v>5.61</v>
      </c>
      <c r="Q330" s="47">
        <v>46147</v>
      </c>
      <c r="R330" s="3" t="s">
        <v>1201</v>
      </c>
      <c r="S330" s="3" t="s">
        <v>353</v>
      </c>
      <c r="T330" s="47">
        <v>46147</v>
      </c>
      <c r="U330" s="47">
        <v>46147</v>
      </c>
      <c r="V330" s="3" t="s">
        <v>1412</v>
      </c>
      <c r="W330" s="3" t="s">
        <v>40</v>
      </c>
      <c r="X330" s="2" t="s">
        <v>37</v>
      </c>
    </row>
    <row r="331" spans="1:24" hidden="1" x14ac:dyDescent="0.3">
      <c r="A331" s="2">
        <v>333</v>
      </c>
      <c r="B331" s="2" t="s">
        <v>1413</v>
      </c>
      <c r="C331" s="50" t="s">
        <v>1414</v>
      </c>
      <c r="D331" s="2" t="s">
        <v>119</v>
      </c>
      <c r="E331" s="2" t="s">
        <v>120</v>
      </c>
      <c r="F331" s="2" t="s">
        <v>121</v>
      </c>
      <c r="G331" s="2" t="s">
        <v>122</v>
      </c>
      <c r="H331" s="3"/>
      <c r="I331" s="2" t="s">
        <v>1414</v>
      </c>
      <c r="J331" s="2" t="s">
        <v>127</v>
      </c>
      <c r="K331" s="2" t="s">
        <v>1415</v>
      </c>
      <c r="N331" s="2" t="s">
        <v>127</v>
      </c>
      <c r="O331" s="3">
        <v>5.4655399999999998</v>
      </c>
      <c r="P331" s="3">
        <f t="shared" si="2"/>
        <v>5.4655399999999998</v>
      </c>
      <c r="Q331" s="47">
        <v>46147</v>
      </c>
      <c r="R331" s="3" t="s">
        <v>1201</v>
      </c>
      <c r="S331" s="3" t="s">
        <v>353</v>
      </c>
      <c r="T331" s="47">
        <v>46147</v>
      </c>
      <c r="U331" s="47">
        <v>46147</v>
      </c>
      <c r="V331" s="3" t="s">
        <v>1416</v>
      </c>
      <c r="W331" s="3" t="s">
        <v>40</v>
      </c>
      <c r="X331" s="2" t="s">
        <v>37</v>
      </c>
    </row>
    <row r="332" spans="1:24" hidden="1" x14ac:dyDescent="0.3">
      <c r="A332" s="2">
        <v>334</v>
      </c>
      <c r="B332" s="2" t="s">
        <v>1417</v>
      </c>
      <c r="C332" s="50" t="s">
        <v>1418</v>
      </c>
      <c r="D332" s="2" t="s">
        <v>119</v>
      </c>
      <c r="E332" s="2" t="s">
        <v>120</v>
      </c>
      <c r="F332" s="2" t="s">
        <v>140</v>
      </c>
      <c r="G332" s="2" t="s">
        <v>141</v>
      </c>
      <c r="H332" s="3"/>
      <c r="I332" s="2" t="s">
        <v>1418</v>
      </c>
      <c r="J332" s="2" t="s">
        <v>127</v>
      </c>
      <c r="K332" s="2" t="s">
        <v>1419</v>
      </c>
      <c r="N332" s="2" t="s">
        <v>127</v>
      </c>
      <c r="O332" s="3">
        <v>1.3480000000000001</v>
      </c>
      <c r="P332" s="3">
        <f t="shared" si="2"/>
        <v>1.3480000000000001</v>
      </c>
      <c r="Q332" s="47">
        <v>46147</v>
      </c>
      <c r="R332" s="3" t="s">
        <v>1201</v>
      </c>
      <c r="S332" s="3" t="s">
        <v>353</v>
      </c>
      <c r="T332" s="47">
        <v>46147</v>
      </c>
      <c r="U332" s="47">
        <v>46147</v>
      </c>
      <c r="V332" s="3" t="s">
        <v>1420</v>
      </c>
      <c r="W332" s="3" t="s">
        <v>40</v>
      </c>
      <c r="X332" s="2" t="s">
        <v>37</v>
      </c>
    </row>
    <row r="333" spans="1:24" hidden="1" x14ac:dyDescent="0.3">
      <c r="A333" s="2">
        <v>335</v>
      </c>
      <c r="B333" s="2" t="s">
        <v>1421</v>
      </c>
      <c r="C333" s="50" t="s">
        <v>1422</v>
      </c>
      <c r="D333" s="2" t="s">
        <v>119</v>
      </c>
      <c r="E333" s="2" t="s">
        <v>120</v>
      </c>
      <c r="F333" s="2" t="s">
        <v>140</v>
      </c>
      <c r="G333" s="2" t="s">
        <v>141</v>
      </c>
      <c r="H333" s="3"/>
      <c r="I333" s="2" t="s">
        <v>1422</v>
      </c>
      <c r="J333" s="2" t="s">
        <v>127</v>
      </c>
      <c r="K333" s="2" t="s">
        <v>1423</v>
      </c>
      <c r="N333" s="2" t="s">
        <v>127</v>
      </c>
      <c r="O333" s="3">
        <v>1.2270000000000001</v>
      </c>
      <c r="P333" s="3">
        <f t="shared" si="2"/>
        <v>1.2270000000000001</v>
      </c>
      <c r="Q333" s="47">
        <v>46147</v>
      </c>
      <c r="R333" s="3" t="s">
        <v>1201</v>
      </c>
      <c r="S333" s="3" t="s">
        <v>353</v>
      </c>
      <c r="T333" s="47">
        <v>46147</v>
      </c>
      <c r="U333" s="47">
        <v>46147</v>
      </c>
      <c r="V333" s="3" t="s">
        <v>1424</v>
      </c>
      <c r="W333" s="3" t="s">
        <v>40</v>
      </c>
      <c r="X333" s="2" t="s">
        <v>37</v>
      </c>
    </row>
    <row r="334" spans="1:24" hidden="1" x14ac:dyDescent="0.3">
      <c r="A334" s="2">
        <v>336</v>
      </c>
      <c r="B334" s="2" t="s">
        <v>1425</v>
      </c>
      <c r="C334" s="50" t="s">
        <v>1426</v>
      </c>
      <c r="D334" s="2" t="s">
        <v>119</v>
      </c>
      <c r="E334" s="2" t="s">
        <v>120</v>
      </c>
      <c r="F334" s="2" t="s">
        <v>140</v>
      </c>
      <c r="G334" s="2" t="s">
        <v>256</v>
      </c>
      <c r="H334" s="3"/>
      <c r="I334" s="2" t="s">
        <v>1426</v>
      </c>
      <c r="J334" s="2" t="s">
        <v>127</v>
      </c>
      <c r="K334" s="2" t="s">
        <v>1427</v>
      </c>
      <c r="N334" s="2" t="s">
        <v>127</v>
      </c>
      <c r="O334" s="3">
        <v>1.36833</v>
      </c>
      <c r="P334" s="3">
        <f t="shared" si="2"/>
        <v>1.36833</v>
      </c>
      <c r="Q334" s="47">
        <v>46147</v>
      </c>
      <c r="R334" s="3" t="s">
        <v>1201</v>
      </c>
      <c r="S334" s="3" t="s">
        <v>353</v>
      </c>
      <c r="T334" s="47">
        <v>46147</v>
      </c>
      <c r="U334" s="47">
        <v>46147</v>
      </c>
      <c r="V334" s="3" t="s">
        <v>1428</v>
      </c>
      <c r="W334" s="3" t="s">
        <v>40</v>
      </c>
      <c r="X334" s="2" t="s">
        <v>37</v>
      </c>
    </row>
    <row r="335" spans="1:24" hidden="1" x14ac:dyDescent="0.3">
      <c r="A335" s="2">
        <v>337</v>
      </c>
      <c r="B335" s="2" t="s">
        <v>1429</v>
      </c>
      <c r="C335" s="50" t="s">
        <v>1430</v>
      </c>
      <c r="D335" s="2" t="s">
        <v>119</v>
      </c>
      <c r="E335" s="2" t="s">
        <v>120</v>
      </c>
      <c r="F335" s="2" t="s">
        <v>140</v>
      </c>
      <c r="G335" s="2" t="s">
        <v>256</v>
      </c>
      <c r="H335" s="3"/>
      <c r="I335" s="2" t="s">
        <v>1430</v>
      </c>
      <c r="J335" s="2" t="s">
        <v>127</v>
      </c>
      <c r="K335" s="2" t="s">
        <v>1059</v>
      </c>
      <c r="N335" s="2" t="s">
        <v>127</v>
      </c>
      <c r="O335" s="3">
        <v>1.8740000000000001</v>
      </c>
      <c r="P335" s="3">
        <f t="shared" si="2"/>
        <v>1.8740000000000001</v>
      </c>
      <c r="Q335" s="47">
        <v>46147</v>
      </c>
      <c r="R335" s="3" t="s">
        <v>1201</v>
      </c>
      <c r="S335" s="3" t="s">
        <v>353</v>
      </c>
      <c r="T335" s="47">
        <v>46147</v>
      </c>
      <c r="U335" s="47">
        <v>46147</v>
      </c>
      <c r="V335" s="3" t="s">
        <v>1431</v>
      </c>
      <c r="W335" s="3" t="s">
        <v>40</v>
      </c>
      <c r="X335" s="2" t="s">
        <v>37</v>
      </c>
    </row>
    <row r="336" spans="1:24" hidden="1" x14ac:dyDescent="0.3">
      <c r="A336" s="2">
        <v>338</v>
      </c>
      <c r="B336" s="2" t="s">
        <v>1432</v>
      </c>
      <c r="C336" s="50" t="s">
        <v>1433</v>
      </c>
      <c r="D336" s="2" t="s">
        <v>119</v>
      </c>
      <c r="E336" s="2" t="s">
        <v>120</v>
      </c>
      <c r="F336" s="2" t="s">
        <v>121</v>
      </c>
      <c r="G336" s="2" t="s">
        <v>122</v>
      </c>
      <c r="H336" s="3"/>
      <c r="I336" s="2" t="s">
        <v>1433</v>
      </c>
      <c r="J336" s="2" t="s">
        <v>127</v>
      </c>
      <c r="K336" s="2" t="s">
        <v>1434</v>
      </c>
      <c r="N336" s="2" t="s">
        <v>127</v>
      </c>
      <c r="O336" s="3">
        <v>4.1351399999999998</v>
      </c>
      <c r="P336" s="3">
        <f t="shared" si="2"/>
        <v>4.1351399999999998</v>
      </c>
      <c r="Q336" s="47">
        <v>46147</v>
      </c>
      <c r="R336" s="3" t="s">
        <v>1201</v>
      </c>
      <c r="S336" s="3" t="s">
        <v>353</v>
      </c>
      <c r="T336" s="47">
        <v>46147</v>
      </c>
      <c r="U336" s="47">
        <v>46147</v>
      </c>
      <c r="V336" s="3" t="s">
        <v>1435</v>
      </c>
      <c r="W336" s="3" t="s">
        <v>40</v>
      </c>
      <c r="X336" s="2" t="s">
        <v>37</v>
      </c>
    </row>
    <row r="337" spans="1:24" hidden="1" x14ac:dyDescent="0.3">
      <c r="A337" s="2">
        <v>339</v>
      </c>
      <c r="B337" s="2" t="s">
        <v>1436</v>
      </c>
      <c r="C337" s="50" t="s">
        <v>1437</v>
      </c>
      <c r="D337" s="2" t="s">
        <v>119</v>
      </c>
      <c r="E337" s="2" t="s">
        <v>120</v>
      </c>
      <c r="F337" s="2" t="s">
        <v>140</v>
      </c>
      <c r="G337" s="2" t="s">
        <v>141</v>
      </c>
      <c r="H337" s="3"/>
      <c r="I337" s="2" t="s">
        <v>1437</v>
      </c>
      <c r="J337" s="2" t="s">
        <v>127</v>
      </c>
      <c r="K337" s="2" t="s">
        <v>1438</v>
      </c>
      <c r="N337" s="2" t="s">
        <v>127</v>
      </c>
      <c r="O337" s="3">
        <v>0.90800000000000003</v>
      </c>
      <c r="P337" s="3">
        <f t="shared" si="2"/>
        <v>0.90800000000000003</v>
      </c>
      <c r="Q337" s="47">
        <v>46147</v>
      </c>
      <c r="R337" s="3" t="s">
        <v>1201</v>
      </c>
      <c r="S337" s="3" t="s">
        <v>353</v>
      </c>
      <c r="T337" s="47">
        <v>46147</v>
      </c>
      <c r="U337" s="47">
        <v>46147</v>
      </c>
      <c r="V337" s="3" t="s">
        <v>1439</v>
      </c>
      <c r="W337" s="3" t="s">
        <v>40</v>
      </c>
      <c r="X337" s="2" t="s">
        <v>37</v>
      </c>
    </row>
    <row r="338" spans="1:24" hidden="1" x14ac:dyDescent="0.3">
      <c r="A338" s="2">
        <v>340</v>
      </c>
      <c r="B338" s="2" t="s">
        <v>1440</v>
      </c>
      <c r="C338" s="50" t="s">
        <v>1441</v>
      </c>
      <c r="D338" s="2" t="s">
        <v>119</v>
      </c>
      <c r="E338" s="2" t="s">
        <v>120</v>
      </c>
      <c r="F338" s="2" t="s">
        <v>140</v>
      </c>
      <c r="G338" s="2" t="s">
        <v>153</v>
      </c>
      <c r="H338" s="3"/>
      <c r="I338" s="2" t="s">
        <v>1441</v>
      </c>
      <c r="J338" s="2" t="s">
        <v>127</v>
      </c>
      <c r="K338" s="2" t="s">
        <v>1442</v>
      </c>
      <c r="N338" s="2" t="s">
        <v>127</v>
      </c>
      <c r="O338" s="3">
        <v>0.74109999999999998</v>
      </c>
      <c r="P338" s="3">
        <f t="shared" si="2"/>
        <v>0.74109999999999998</v>
      </c>
      <c r="Q338" s="47">
        <v>46147</v>
      </c>
      <c r="R338" s="3" t="s">
        <v>1201</v>
      </c>
      <c r="S338" s="3" t="s">
        <v>353</v>
      </c>
      <c r="T338" s="47">
        <v>46147</v>
      </c>
      <c r="U338" s="47">
        <v>46147</v>
      </c>
      <c r="V338" s="3" t="s">
        <v>1443</v>
      </c>
      <c r="W338" s="3" t="s">
        <v>40</v>
      </c>
      <c r="X338" s="2" t="s">
        <v>37</v>
      </c>
    </row>
    <row r="339" spans="1:24" hidden="1" x14ac:dyDescent="0.3">
      <c r="A339" s="2">
        <v>341</v>
      </c>
      <c r="B339" s="2" t="s">
        <v>1444</v>
      </c>
      <c r="C339" s="50" t="s">
        <v>1445</v>
      </c>
      <c r="D339" s="2" t="s">
        <v>119</v>
      </c>
      <c r="E339" s="2" t="s">
        <v>120</v>
      </c>
      <c r="F339" s="2" t="s">
        <v>140</v>
      </c>
      <c r="G339" s="2" t="s">
        <v>141</v>
      </c>
      <c r="H339" s="3"/>
      <c r="I339" s="2" t="s">
        <v>1445</v>
      </c>
      <c r="J339" s="2" t="s">
        <v>127</v>
      </c>
      <c r="K339" s="2" t="s">
        <v>1446</v>
      </c>
      <c r="N339" s="2" t="s">
        <v>127</v>
      </c>
      <c r="O339" s="3">
        <v>1.8660000000000001</v>
      </c>
      <c r="P339" s="3">
        <f t="shared" si="2"/>
        <v>1.8660000000000001</v>
      </c>
      <c r="Q339" s="47">
        <v>46147</v>
      </c>
      <c r="R339" s="3" t="s">
        <v>1201</v>
      </c>
      <c r="S339" s="3" t="s">
        <v>353</v>
      </c>
      <c r="T339" s="47">
        <v>46147</v>
      </c>
      <c r="U339" s="47">
        <v>46147</v>
      </c>
      <c r="V339" s="3" t="s">
        <v>1447</v>
      </c>
      <c r="W339" s="3" t="s">
        <v>40</v>
      </c>
      <c r="X339" s="2" t="s">
        <v>37</v>
      </c>
    </row>
    <row r="340" spans="1:24" hidden="1" x14ac:dyDescent="0.3">
      <c r="A340" s="2">
        <v>342</v>
      </c>
      <c r="B340" s="2" t="s">
        <v>1448</v>
      </c>
      <c r="C340" s="50" t="s">
        <v>1449</v>
      </c>
      <c r="D340" s="2" t="s">
        <v>119</v>
      </c>
      <c r="E340" s="2" t="s">
        <v>120</v>
      </c>
      <c r="F340" s="2" t="s">
        <v>140</v>
      </c>
      <c r="G340" s="2" t="s">
        <v>174</v>
      </c>
      <c r="H340" s="3"/>
      <c r="I340" s="2" t="s">
        <v>1449</v>
      </c>
      <c r="J340" s="2" t="s">
        <v>127</v>
      </c>
      <c r="K340" s="2" t="s">
        <v>1450</v>
      </c>
      <c r="N340" s="2" t="s">
        <v>127</v>
      </c>
      <c r="O340" s="3">
        <v>0.89400000000000002</v>
      </c>
      <c r="P340" s="3">
        <f t="shared" si="2"/>
        <v>0.89400000000000002</v>
      </c>
      <c r="Q340" s="47">
        <v>46147</v>
      </c>
      <c r="R340" s="3" t="s">
        <v>1201</v>
      </c>
      <c r="S340" s="3" t="s">
        <v>353</v>
      </c>
      <c r="T340" s="47">
        <v>46147</v>
      </c>
      <c r="U340" s="47">
        <v>46147</v>
      </c>
      <c r="V340" s="3" t="s">
        <v>1451</v>
      </c>
      <c r="W340" s="3" t="s">
        <v>40</v>
      </c>
      <c r="X340" s="2" t="s">
        <v>37</v>
      </c>
    </row>
    <row r="341" spans="1:24" hidden="1" x14ac:dyDescent="0.3">
      <c r="A341" s="2">
        <v>343</v>
      </c>
      <c r="B341" s="2" t="s">
        <v>1452</v>
      </c>
      <c r="C341" s="50" t="s">
        <v>1453</v>
      </c>
      <c r="D341" s="2" t="s">
        <v>119</v>
      </c>
      <c r="E341" s="2" t="s">
        <v>120</v>
      </c>
      <c r="F341" s="2" t="s">
        <v>121</v>
      </c>
      <c r="G341" s="2" t="s">
        <v>122</v>
      </c>
      <c r="H341" s="3"/>
      <c r="I341" s="2" t="s">
        <v>1453</v>
      </c>
      <c r="J341" s="2" t="s">
        <v>127</v>
      </c>
      <c r="K341" s="2" t="s">
        <v>1454</v>
      </c>
      <c r="N341" s="2" t="s">
        <v>127</v>
      </c>
      <c r="O341" s="3">
        <v>2.2120700000000002</v>
      </c>
      <c r="P341" s="3">
        <f t="shared" si="2"/>
        <v>2.2120700000000002</v>
      </c>
      <c r="Q341" s="47">
        <v>46147</v>
      </c>
      <c r="R341" s="3" t="s">
        <v>1201</v>
      </c>
      <c r="S341" s="3" t="s">
        <v>353</v>
      </c>
      <c r="T341" s="47">
        <v>46147</v>
      </c>
      <c r="U341" s="47">
        <v>46147</v>
      </c>
      <c r="V341" s="3" t="s">
        <v>1455</v>
      </c>
      <c r="W341" s="3" t="s">
        <v>40</v>
      </c>
      <c r="X341" s="2" t="s">
        <v>37</v>
      </c>
    </row>
    <row r="342" spans="1:24" hidden="1" x14ac:dyDescent="0.3">
      <c r="A342" s="2">
        <v>344</v>
      </c>
      <c r="B342" s="2" t="s">
        <v>1456</v>
      </c>
      <c r="C342" s="50" t="s">
        <v>1457</v>
      </c>
      <c r="D342" s="2" t="s">
        <v>119</v>
      </c>
      <c r="E342" s="2" t="s">
        <v>120</v>
      </c>
      <c r="F342" s="2" t="s">
        <v>140</v>
      </c>
      <c r="G342" s="2" t="s">
        <v>141</v>
      </c>
      <c r="H342" s="3"/>
      <c r="I342" s="2" t="s">
        <v>1457</v>
      </c>
      <c r="J342" s="2" t="s">
        <v>127</v>
      </c>
      <c r="K342" s="2" t="s">
        <v>1458</v>
      </c>
      <c r="N342" s="2" t="s">
        <v>127</v>
      </c>
      <c r="O342" s="3">
        <v>0.39677000000000001</v>
      </c>
      <c r="P342" s="3">
        <f t="shared" si="2"/>
        <v>0.39677000000000001</v>
      </c>
      <c r="Q342" s="47">
        <v>46147</v>
      </c>
      <c r="R342" s="3" t="s">
        <v>1201</v>
      </c>
      <c r="S342" s="3" t="s">
        <v>353</v>
      </c>
      <c r="T342" s="47">
        <v>46147</v>
      </c>
      <c r="U342" s="47">
        <v>46147</v>
      </c>
      <c r="V342" s="3" t="s">
        <v>1459</v>
      </c>
      <c r="W342" s="3" t="s">
        <v>40</v>
      </c>
      <c r="X342" s="2" t="s">
        <v>37</v>
      </c>
    </row>
    <row r="343" spans="1:24" hidden="1" x14ac:dyDescent="0.3">
      <c r="A343" s="2">
        <v>345</v>
      </c>
      <c r="B343" s="2" t="s">
        <v>1460</v>
      </c>
      <c r="C343" s="50" t="s">
        <v>1461</v>
      </c>
      <c r="D343" s="2" t="s">
        <v>119</v>
      </c>
      <c r="E343" s="2" t="s">
        <v>120</v>
      </c>
      <c r="F343" s="2" t="s">
        <v>140</v>
      </c>
      <c r="G343" s="2" t="s">
        <v>141</v>
      </c>
      <c r="H343" s="3"/>
      <c r="I343" s="2" t="s">
        <v>1461</v>
      </c>
      <c r="J343" s="2" t="s">
        <v>127</v>
      </c>
      <c r="K343" s="2" t="s">
        <v>1462</v>
      </c>
      <c r="N343" s="2" t="s">
        <v>127</v>
      </c>
      <c r="O343" s="3">
        <v>0.4163</v>
      </c>
      <c r="P343" s="3">
        <f t="shared" si="2"/>
        <v>0.4163</v>
      </c>
      <c r="Q343" s="47">
        <v>46147</v>
      </c>
      <c r="R343" s="3" t="s">
        <v>1201</v>
      </c>
      <c r="S343" s="3" t="s">
        <v>353</v>
      </c>
      <c r="T343" s="47">
        <v>46147</v>
      </c>
      <c r="U343" s="47">
        <v>46147</v>
      </c>
      <c r="V343" s="3" t="s">
        <v>1463</v>
      </c>
      <c r="W343" s="3" t="s">
        <v>40</v>
      </c>
      <c r="X343" s="2" t="s">
        <v>37</v>
      </c>
    </row>
    <row r="344" spans="1:24" hidden="1" x14ac:dyDescent="0.3">
      <c r="A344" s="2">
        <v>346</v>
      </c>
      <c r="B344" s="2" t="s">
        <v>1464</v>
      </c>
      <c r="C344" s="50" t="s">
        <v>1465</v>
      </c>
      <c r="D344" s="2" t="s">
        <v>119</v>
      </c>
      <c r="E344" s="2" t="s">
        <v>120</v>
      </c>
      <c r="F344" s="2" t="s">
        <v>140</v>
      </c>
      <c r="G344" s="2" t="s">
        <v>256</v>
      </c>
      <c r="H344" s="3"/>
      <c r="I344" s="2" t="s">
        <v>1465</v>
      </c>
      <c r="J344" s="2" t="s">
        <v>127</v>
      </c>
      <c r="K344" s="2" t="s">
        <v>991</v>
      </c>
      <c r="N344" s="2" t="s">
        <v>127</v>
      </c>
      <c r="O344" s="3">
        <v>0.6925</v>
      </c>
      <c r="P344" s="3">
        <f t="shared" si="2"/>
        <v>0.6925</v>
      </c>
      <c r="Q344" s="47">
        <v>46147</v>
      </c>
      <c r="R344" s="3" t="s">
        <v>1201</v>
      </c>
      <c r="S344" s="3" t="s">
        <v>353</v>
      </c>
      <c r="T344" s="47">
        <v>46147</v>
      </c>
      <c r="U344" s="47">
        <v>46147</v>
      </c>
      <c r="V344" s="3" t="s">
        <v>1466</v>
      </c>
      <c r="W344" s="3" t="s">
        <v>40</v>
      </c>
      <c r="X344" s="2" t="s">
        <v>37</v>
      </c>
    </row>
    <row r="345" spans="1:24" hidden="1" x14ac:dyDescent="0.3">
      <c r="A345" s="2">
        <v>347</v>
      </c>
      <c r="B345" s="2" t="s">
        <v>1467</v>
      </c>
      <c r="C345" s="50" t="s">
        <v>1468</v>
      </c>
      <c r="D345" s="2" t="s">
        <v>119</v>
      </c>
      <c r="E345" s="2" t="s">
        <v>120</v>
      </c>
      <c r="F345" s="2" t="s">
        <v>121</v>
      </c>
      <c r="G345" s="2" t="s">
        <v>275</v>
      </c>
      <c r="H345" s="3"/>
      <c r="I345" s="2" t="s">
        <v>1468</v>
      </c>
      <c r="J345" s="2" t="s">
        <v>127</v>
      </c>
      <c r="K345" s="2" t="s">
        <v>991</v>
      </c>
      <c r="N345" s="2" t="s">
        <v>127</v>
      </c>
      <c r="O345" s="3">
        <v>1.4348000000000001</v>
      </c>
      <c r="P345" s="3">
        <f t="shared" si="2"/>
        <v>1.4348000000000001</v>
      </c>
      <c r="Q345" s="47">
        <v>46147</v>
      </c>
      <c r="R345" s="3" t="s">
        <v>1201</v>
      </c>
      <c r="S345" s="3" t="s">
        <v>353</v>
      </c>
      <c r="T345" s="47">
        <v>46147</v>
      </c>
      <c r="U345" s="47">
        <v>46147</v>
      </c>
      <c r="V345" s="3" t="s">
        <v>1469</v>
      </c>
      <c r="W345" s="3" t="s">
        <v>40</v>
      </c>
      <c r="X345" s="2" t="s">
        <v>37</v>
      </c>
    </row>
    <row r="346" spans="1:24" hidden="1" x14ac:dyDescent="0.3">
      <c r="A346" s="2">
        <v>348</v>
      </c>
      <c r="B346" s="2" t="s">
        <v>1470</v>
      </c>
      <c r="C346" s="50" t="s">
        <v>1471</v>
      </c>
      <c r="D346" s="2" t="s">
        <v>119</v>
      </c>
      <c r="E346" s="2" t="s">
        <v>120</v>
      </c>
      <c r="F346" s="2" t="s">
        <v>121</v>
      </c>
      <c r="G346" s="2" t="s">
        <v>275</v>
      </c>
      <c r="H346" s="3"/>
      <c r="I346" s="2" t="s">
        <v>1471</v>
      </c>
      <c r="J346" s="2" t="s">
        <v>127</v>
      </c>
      <c r="K346" s="2" t="s">
        <v>1472</v>
      </c>
      <c r="N346" s="2" t="s">
        <v>127</v>
      </c>
      <c r="O346" s="3">
        <v>8.25</v>
      </c>
      <c r="P346" s="3">
        <f t="shared" si="2"/>
        <v>8.25</v>
      </c>
      <c r="Q346" s="47">
        <v>46147</v>
      </c>
      <c r="R346" s="3" t="s">
        <v>1201</v>
      </c>
      <c r="S346" s="3" t="s">
        <v>353</v>
      </c>
      <c r="T346" s="47">
        <v>46147</v>
      </c>
      <c r="U346" s="47">
        <v>46147</v>
      </c>
      <c r="V346" s="3" t="s">
        <v>1473</v>
      </c>
      <c r="W346" s="3" t="s">
        <v>40</v>
      </c>
      <c r="X346" s="2" t="s">
        <v>37</v>
      </c>
    </row>
    <row r="347" spans="1:24" hidden="1" x14ac:dyDescent="0.3">
      <c r="A347" s="2">
        <v>349</v>
      </c>
      <c r="B347" s="2" t="s">
        <v>1474</v>
      </c>
      <c r="C347" s="50" t="s">
        <v>1475</v>
      </c>
      <c r="D347" s="2" t="s">
        <v>119</v>
      </c>
      <c r="E347" s="2" t="s">
        <v>120</v>
      </c>
      <c r="F347" s="2" t="s">
        <v>121</v>
      </c>
      <c r="G347" s="2" t="s">
        <v>782</v>
      </c>
      <c r="H347" s="3"/>
      <c r="I347" s="2" t="s">
        <v>1475</v>
      </c>
      <c r="J347" s="2" t="s">
        <v>127</v>
      </c>
      <c r="K347" s="2" t="s">
        <v>991</v>
      </c>
      <c r="N347" s="2" t="s">
        <v>127</v>
      </c>
      <c r="O347" s="3">
        <v>0.20749999999999999</v>
      </c>
      <c r="P347" s="3">
        <f t="shared" si="2"/>
        <v>0.20749999999999999</v>
      </c>
      <c r="Q347" s="47">
        <v>46147</v>
      </c>
      <c r="R347" s="3" t="s">
        <v>1201</v>
      </c>
      <c r="S347" s="3" t="s">
        <v>353</v>
      </c>
      <c r="T347" s="47">
        <v>46147</v>
      </c>
      <c r="U347" s="47">
        <v>46147</v>
      </c>
      <c r="V347" s="3" t="s">
        <v>1476</v>
      </c>
      <c r="W347" s="3" t="s">
        <v>40</v>
      </c>
      <c r="X347" s="2" t="s">
        <v>37</v>
      </c>
    </row>
    <row r="348" spans="1:24" hidden="1" x14ac:dyDescent="0.3">
      <c r="A348" s="2">
        <v>350</v>
      </c>
      <c r="B348" s="2" t="s">
        <v>1477</v>
      </c>
      <c r="C348" s="50" t="s">
        <v>1478</v>
      </c>
      <c r="D348" s="2" t="s">
        <v>119</v>
      </c>
      <c r="E348" s="2" t="s">
        <v>120</v>
      </c>
      <c r="F348" s="2" t="s">
        <v>140</v>
      </c>
      <c r="G348" s="2" t="s">
        <v>256</v>
      </c>
      <c r="H348" s="3"/>
      <c r="I348" s="2" t="s">
        <v>1478</v>
      </c>
      <c r="J348" s="2" t="s">
        <v>127</v>
      </c>
      <c r="K348" s="2" t="s">
        <v>1450</v>
      </c>
      <c r="N348" s="2" t="s">
        <v>127</v>
      </c>
      <c r="O348" s="3">
        <v>7.12</v>
      </c>
      <c r="P348" s="3">
        <f t="shared" si="2"/>
        <v>7.12</v>
      </c>
      <c r="Q348" s="47">
        <v>46147</v>
      </c>
      <c r="R348" s="3" t="s">
        <v>1201</v>
      </c>
      <c r="S348" s="3" t="s">
        <v>353</v>
      </c>
      <c r="T348" s="47">
        <v>46147</v>
      </c>
      <c r="U348" s="47">
        <v>46147</v>
      </c>
      <c r="V348" s="3" t="s">
        <v>1479</v>
      </c>
      <c r="W348" s="3" t="s">
        <v>40</v>
      </c>
      <c r="X348" s="2" t="s">
        <v>37</v>
      </c>
    </row>
    <row r="349" spans="1:24" hidden="1" x14ac:dyDescent="0.3">
      <c r="A349" s="2">
        <v>351</v>
      </c>
      <c r="B349" s="2" t="s">
        <v>1480</v>
      </c>
      <c r="C349" s="50" t="s">
        <v>1481</v>
      </c>
      <c r="D349" s="2" t="s">
        <v>119</v>
      </c>
      <c r="E349" s="2" t="s">
        <v>120</v>
      </c>
      <c r="F349" s="2" t="s">
        <v>140</v>
      </c>
      <c r="G349" s="2" t="s">
        <v>153</v>
      </c>
      <c r="H349" s="3"/>
      <c r="I349" s="2" t="s">
        <v>1481</v>
      </c>
      <c r="J349" s="2" t="s">
        <v>127</v>
      </c>
      <c r="K349" s="2" t="s">
        <v>1482</v>
      </c>
      <c r="N349" s="2" t="s">
        <v>127</v>
      </c>
      <c r="O349" s="3">
        <v>0.75</v>
      </c>
      <c r="P349" s="3">
        <f t="shared" si="2"/>
        <v>0.75</v>
      </c>
      <c r="Q349" s="47">
        <v>46147</v>
      </c>
      <c r="R349" s="3" t="s">
        <v>1201</v>
      </c>
      <c r="S349" s="3" t="s">
        <v>353</v>
      </c>
      <c r="T349" s="47">
        <v>46147</v>
      </c>
      <c r="U349" s="47">
        <v>46147</v>
      </c>
      <c r="V349" s="3" t="s">
        <v>1483</v>
      </c>
      <c r="W349" s="3" t="s">
        <v>40</v>
      </c>
      <c r="X349" s="2" t="s">
        <v>37</v>
      </c>
    </row>
    <row r="350" spans="1:24" hidden="1" x14ac:dyDescent="0.3">
      <c r="A350" s="2">
        <v>352</v>
      </c>
      <c r="B350" s="2" t="s">
        <v>1484</v>
      </c>
      <c r="C350" s="50" t="s">
        <v>1485</v>
      </c>
      <c r="D350" s="2" t="s">
        <v>119</v>
      </c>
      <c r="E350" s="2" t="s">
        <v>120</v>
      </c>
      <c r="F350" s="2" t="s">
        <v>140</v>
      </c>
      <c r="G350" s="2" t="s">
        <v>256</v>
      </c>
      <c r="H350" s="3"/>
      <c r="I350" s="2" t="s">
        <v>1485</v>
      </c>
      <c r="J350" s="2" t="s">
        <v>127</v>
      </c>
      <c r="K350" s="2" t="s">
        <v>1486</v>
      </c>
      <c r="N350" s="2" t="s">
        <v>127</v>
      </c>
      <c r="O350" s="3">
        <v>11.51</v>
      </c>
      <c r="P350" s="3">
        <f t="shared" si="2"/>
        <v>11.51</v>
      </c>
      <c r="Q350" s="47">
        <v>46147</v>
      </c>
      <c r="R350" s="3" t="s">
        <v>1201</v>
      </c>
      <c r="S350" s="3" t="s">
        <v>353</v>
      </c>
      <c r="T350" s="47">
        <v>46147</v>
      </c>
      <c r="U350" s="47">
        <v>46147</v>
      </c>
      <c r="V350" s="3" t="s">
        <v>1487</v>
      </c>
      <c r="W350" s="3" t="s">
        <v>40</v>
      </c>
      <c r="X350" s="2" t="s">
        <v>37</v>
      </c>
    </row>
    <row r="351" spans="1:24" hidden="1" x14ac:dyDescent="0.3">
      <c r="A351" s="2">
        <v>353</v>
      </c>
      <c r="B351" s="2" t="s">
        <v>1488</v>
      </c>
      <c r="C351" s="50" t="s">
        <v>1489</v>
      </c>
      <c r="D351" s="2" t="s">
        <v>119</v>
      </c>
      <c r="E351" s="2" t="s">
        <v>120</v>
      </c>
      <c r="F351" s="2" t="s">
        <v>121</v>
      </c>
      <c r="G351" s="2" t="s">
        <v>122</v>
      </c>
      <c r="H351" s="3"/>
      <c r="I351" s="2" t="s">
        <v>1489</v>
      </c>
      <c r="J351" s="2" t="s">
        <v>127</v>
      </c>
      <c r="K351" s="2" t="s">
        <v>1454</v>
      </c>
      <c r="N351" s="2" t="s">
        <v>127</v>
      </c>
      <c r="O351" s="3">
        <v>9.5250000000000004</v>
      </c>
      <c r="P351" s="3">
        <f t="shared" si="2"/>
        <v>9.5250000000000004</v>
      </c>
      <c r="Q351" s="47">
        <v>46147</v>
      </c>
      <c r="R351" s="3" t="s">
        <v>1201</v>
      </c>
      <c r="S351" s="3" t="s">
        <v>353</v>
      </c>
      <c r="T351" s="47">
        <v>46147</v>
      </c>
      <c r="U351" s="47">
        <v>46147</v>
      </c>
      <c r="V351" s="3" t="s">
        <v>1490</v>
      </c>
      <c r="W351" s="3" t="s">
        <v>40</v>
      </c>
      <c r="X351" s="2" t="s">
        <v>37</v>
      </c>
    </row>
    <row r="352" spans="1:24" hidden="1" x14ac:dyDescent="0.3">
      <c r="A352" s="2">
        <v>354</v>
      </c>
      <c r="B352" s="2" t="s">
        <v>1491</v>
      </c>
      <c r="C352" s="50" t="s">
        <v>1492</v>
      </c>
      <c r="D352" s="2" t="s">
        <v>119</v>
      </c>
      <c r="E352" s="2" t="s">
        <v>120</v>
      </c>
      <c r="F352" s="2" t="s">
        <v>121</v>
      </c>
      <c r="G352" s="2" t="s">
        <v>122</v>
      </c>
      <c r="H352" s="3"/>
      <c r="I352" s="2" t="s">
        <v>1492</v>
      </c>
      <c r="J352" s="2" t="s">
        <v>127</v>
      </c>
      <c r="K352" s="2" t="s">
        <v>1493</v>
      </c>
      <c r="N352" s="2" t="s">
        <v>127</v>
      </c>
      <c r="O352" s="3">
        <v>2.6993800000000001</v>
      </c>
      <c r="P352" s="3">
        <f t="shared" si="2"/>
        <v>2.6993800000000001</v>
      </c>
      <c r="Q352" s="47">
        <v>46147</v>
      </c>
      <c r="R352" s="3" t="s">
        <v>1201</v>
      </c>
      <c r="S352" s="3" t="s">
        <v>353</v>
      </c>
      <c r="T352" s="47">
        <v>46147</v>
      </c>
      <c r="U352" s="47">
        <v>46147</v>
      </c>
      <c r="V352" s="3" t="s">
        <v>1494</v>
      </c>
      <c r="W352" s="3" t="s">
        <v>40</v>
      </c>
      <c r="X352" s="2" t="s">
        <v>37</v>
      </c>
    </row>
    <row r="353" spans="1:24" hidden="1" x14ac:dyDescent="0.3">
      <c r="A353" s="2">
        <v>355</v>
      </c>
      <c r="B353" s="2" t="s">
        <v>1495</v>
      </c>
      <c r="C353" s="50" t="s">
        <v>1496</v>
      </c>
      <c r="D353" s="2" t="s">
        <v>119</v>
      </c>
      <c r="E353" s="2" t="s">
        <v>120</v>
      </c>
      <c r="F353" s="2" t="s">
        <v>140</v>
      </c>
      <c r="G353" s="2" t="s">
        <v>141</v>
      </c>
      <c r="H353" s="3"/>
      <c r="I353" s="2" t="s">
        <v>1496</v>
      </c>
      <c r="J353" s="2" t="s">
        <v>127</v>
      </c>
      <c r="K353" s="2" t="s">
        <v>1497</v>
      </c>
      <c r="N353" s="2" t="s">
        <v>127</v>
      </c>
      <c r="O353" s="3">
        <v>0.35720000000000002</v>
      </c>
      <c r="P353" s="3">
        <f t="shared" si="2"/>
        <v>0.35720000000000002</v>
      </c>
      <c r="Q353" s="47">
        <v>46147</v>
      </c>
      <c r="R353" s="3" t="s">
        <v>1201</v>
      </c>
      <c r="S353" s="3" t="s">
        <v>353</v>
      </c>
      <c r="T353" s="47">
        <v>46147</v>
      </c>
      <c r="U353" s="47">
        <v>46147</v>
      </c>
      <c r="V353" s="3" t="s">
        <v>1498</v>
      </c>
      <c r="W353" s="3" t="s">
        <v>40</v>
      </c>
      <c r="X353" s="2" t="s">
        <v>37</v>
      </c>
    </row>
    <row r="354" spans="1:24" hidden="1" x14ac:dyDescent="0.3">
      <c r="A354" s="2">
        <v>356</v>
      </c>
      <c r="B354" s="2" t="s">
        <v>1499</v>
      </c>
      <c r="C354" s="50" t="s">
        <v>1500</v>
      </c>
      <c r="D354" s="2" t="s">
        <v>119</v>
      </c>
      <c r="E354" s="2" t="s">
        <v>120</v>
      </c>
      <c r="F354" s="2" t="s">
        <v>140</v>
      </c>
      <c r="G354" s="2" t="s">
        <v>141</v>
      </c>
      <c r="H354" s="3"/>
      <c r="I354" s="2" t="s">
        <v>1500</v>
      </c>
      <c r="J354" s="2" t="s">
        <v>127</v>
      </c>
      <c r="K354" s="2" t="s">
        <v>1501</v>
      </c>
      <c r="N354" s="2" t="s">
        <v>127</v>
      </c>
      <c r="O354" s="3">
        <v>0.125</v>
      </c>
      <c r="P354" s="3">
        <f t="shared" si="2"/>
        <v>0.125</v>
      </c>
      <c r="Q354" s="47">
        <v>46147</v>
      </c>
      <c r="R354" s="3" t="s">
        <v>1201</v>
      </c>
      <c r="S354" s="3" t="s">
        <v>353</v>
      </c>
      <c r="T354" s="47">
        <v>46147</v>
      </c>
      <c r="U354" s="47">
        <v>46147</v>
      </c>
      <c r="V354" s="3" t="s">
        <v>1502</v>
      </c>
      <c r="W354" s="3" t="s">
        <v>40</v>
      </c>
      <c r="X354" s="2" t="s">
        <v>37</v>
      </c>
    </row>
    <row r="355" spans="1:24" hidden="1" x14ac:dyDescent="0.3">
      <c r="A355" s="2">
        <v>357</v>
      </c>
      <c r="B355" s="2" t="s">
        <v>1503</v>
      </c>
      <c r="C355" s="50" t="s">
        <v>1504</v>
      </c>
      <c r="D355" s="2" t="s">
        <v>119</v>
      </c>
      <c r="E355" s="2" t="s">
        <v>120</v>
      </c>
      <c r="F355" s="2" t="s">
        <v>140</v>
      </c>
      <c r="G355" s="2" t="s">
        <v>153</v>
      </c>
      <c r="H355" s="3"/>
      <c r="I355" s="2" t="s">
        <v>1504</v>
      </c>
      <c r="J355" s="2" t="s">
        <v>127</v>
      </c>
      <c r="K355" s="2" t="s">
        <v>1369</v>
      </c>
      <c r="N355" s="2" t="s">
        <v>127</v>
      </c>
      <c r="O355" s="3">
        <v>0.17499999999999999</v>
      </c>
      <c r="P355" s="3">
        <f t="shared" si="2"/>
        <v>0.17499999999999999</v>
      </c>
      <c r="Q355" s="47">
        <v>46147</v>
      </c>
      <c r="R355" s="3" t="s">
        <v>1201</v>
      </c>
      <c r="S355" s="3" t="s">
        <v>353</v>
      </c>
      <c r="T355" s="47">
        <v>46147</v>
      </c>
      <c r="U355" s="47">
        <v>46147</v>
      </c>
      <c r="V355" s="3" t="s">
        <v>1505</v>
      </c>
      <c r="W355" s="3" t="s">
        <v>40</v>
      </c>
      <c r="X355" s="2" t="s">
        <v>37</v>
      </c>
    </row>
    <row r="356" spans="1:24" hidden="1" x14ac:dyDescent="0.3">
      <c r="A356" s="2">
        <v>358</v>
      </c>
      <c r="B356" s="2" t="s">
        <v>1506</v>
      </c>
      <c r="C356" s="50" t="s">
        <v>1507</v>
      </c>
      <c r="D356" s="2" t="s">
        <v>119</v>
      </c>
      <c r="E356" s="2" t="s">
        <v>120</v>
      </c>
      <c r="F356" s="2" t="s">
        <v>140</v>
      </c>
      <c r="G356" s="2" t="s">
        <v>174</v>
      </c>
      <c r="H356" s="3"/>
      <c r="I356" s="2" t="s">
        <v>1507</v>
      </c>
      <c r="J356" s="2" t="s">
        <v>127</v>
      </c>
      <c r="K356" s="2" t="s">
        <v>1508</v>
      </c>
      <c r="N356" s="2" t="s">
        <v>127</v>
      </c>
      <c r="O356" s="3">
        <v>0.38750000000000001</v>
      </c>
      <c r="P356" s="3">
        <f t="shared" si="2"/>
        <v>0.38750000000000001</v>
      </c>
      <c r="Q356" s="47">
        <v>46147</v>
      </c>
      <c r="R356" s="3" t="s">
        <v>1201</v>
      </c>
      <c r="S356" s="3" t="s">
        <v>353</v>
      </c>
      <c r="T356" s="47">
        <v>46147</v>
      </c>
      <c r="U356" s="47">
        <v>46147</v>
      </c>
      <c r="V356" s="3" t="s">
        <v>1509</v>
      </c>
      <c r="W356" s="3" t="s">
        <v>40</v>
      </c>
      <c r="X356" s="2" t="s">
        <v>37</v>
      </c>
    </row>
    <row r="357" spans="1:24" hidden="1" x14ac:dyDescent="0.3">
      <c r="A357" s="2">
        <v>359</v>
      </c>
      <c r="B357" s="2" t="s">
        <v>1510</v>
      </c>
      <c r="C357" s="50" t="s">
        <v>1511</v>
      </c>
      <c r="D357" s="2" t="s">
        <v>119</v>
      </c>
      <c r="E357" s="2" t="s">
        <v>120</v>
      </c>
      <c r="F357" s="2" t="s">
        <v>140</v>
      </c>
      <c r="G357" s="2" t="s">
        <v>256</v>
      </c>
      <c r="H357" s="3"/>
      <c r="I357" s="2" t="s">
        <v>1511</v>
      </c>
      <c r="J357" s="2" t="s">
        <v>127</v>
      </c>
      <c r="K357" s="2" t="s">
        <v>1369</v>
      </c>
      <c r="N357" s="2" t="s">
        <v>127</v>
      </c>
      <c r="O357" s="3">
        <v>0</v>
      </c>
      <c r="P357" s="3">
        <f t="shared" si="2"/>
        <v>0</v>
      </c>
      <c r="Q357" s="47">
        <v>46147</v>
      </c>
      <c r="R357" s="3" t="s">
        <v>1201</v>
      </c>
      <c r="S357" s="3" t="s">
        <v>353</v>
      </c>
      <c r="T357" s="47">
        <v>46147</v>
      </c>
      <c r="U357" s="47">
        <v>46147</v>
      </c>
      <c r="V357" s="3" t="s">
        <v>1512</v>
      </c>
      <c r="W357" s="3" t="s">
        <v>40</v>
      </c>
      <c r="X357" s="2" t="s">
        <v>41</v>
      </c>
    </row>
    <row r="358" spans="1:24" hidden="1" x14ac:dyDescent="0.3">
      <c r="A358" s="2">
        <v>360</v>
      </c>
      <c r="B358" s="2" t="s">
        <v>1513</v>
      </c>
      <c r="C358" s="50" t="s">
        <v>1514</v>
      </c>
      <c r="D358" s="2" t="s">
        <v>119</v>
      </c>
      <c r="E358" s="2" t="s">
        <v>120</v>
      </c>
      <c r="F358" s="2" t="s">
        <v>140</v>
      </c>
      <c r="G358" s="2" t="s">
        <v>164</v>
      </c>
      <c r="H358" s="3"/>
      <c r="I358" s="2" t="s">
        <v>1514</v>
      </c>
      <c r="J358" s="2" t="s">
        <v>127</v>
      </c>
      <c r="K358" s="2" t="s">
        <v>1369</v>
      </c>
      <c r="N358" s="2" t="s">
        <v>127</v>
      </c>
      <c r="O358" s="3">
        <v>0</v>
      </c>
      <c r="P358" s="3">
        <f t="shared" si="2"/>
        <v>0</v>
      </c>
      <c r="Q358" s="47">
        <v>46147</v>
      </c>
      <c r="R358" s="3" t="s">
        <v>1201</v>
      </c>
      <c r="S358" s="3" t="s">
        <v>353</v>
      </c>
      <c r="T358" s="47">
        <v>46147</v>
      </c>
      <c r="U358" s="47">
        <v>46147</v>
      </c>
      <c r="V358" s="3" t="s">
        <v>1515</v>
      </c>
      <c r="W358" s="3" t="s">
        <v>40</v>
      </c>
      <c r="X358" s="2" t="s">
        <v>41</v>
      </c>
    </row>
    <row r="359" spans="1:24" hidden="1" x14ac:dyDescent="0.3">
      <c r="A359" s="2">
        <v>361</v>
      </c>
      <c r="B359" s="2" t="s">
        <v>1516</v>
      </c>
      <c r="C359" s="50" t="s">
        <v>1517</v>
      </c>
      <c r="D359" s="2" t="s">
        <v>119</v>
      </c>
      <c r="E359" s="2" t="s">
        <v>120</v>
      </c>
      <c r="F359" s="2" t="s">
        <v>121</v>
      </c>
      <c r="G359" s="2" t="s">
        <v>782</v>
      </c>
      <c r="H359" s="3"/>
      <c r="I359" s="2" t="s">
        <v>1517</v>
      </c>
      <c r="J359" s="2" t="s">
        <v>127</v>
      </c>
      <c r="K359" s="2" t="s">
        <v>1059</v>
      </c>
      <c r="N359" s="2" t="s">
        <v>127</v>
      </c>
      <c r="O359" s="3">
        <v>17.25</v>
      </c>
      <c r="P359" s="3">
        <f t="shared" si="2"/>
        <v>17.25</v>
      </c>
      <c r="Q359" s="47">
        <v>46147</v>
      </c>
      <c r="R359" s="3" t="s">
        <v>1201</v>
      </c>
      <c r="S359" s="3" t="s">
        <v>353</v>
      </c>
      <c r="T359" s="47">
        <v>46147</v>
      </c>
      <c r="U359" s="47">
        <v>46147</v>
      </c>
      <c r="V359" s="3" t="s">
        <v>1518</v>
      </c>
      <c r="W359" s="3" t="s">
        <v>40</v>
      </c>
      <c r="X359" s="2" t="s">
        <v>37</v>
      </c>
    </row>
    <row r="360" spans="1:24" hidden="1" x14ac:dyDescent="0.3">
      <c r="A360" s="2">
        <v>362</v>
      </c>
      <c r="B360" s="2" t="s">
        <v>1519</v>
      </c>
      <c r="C360" s="50" t="s">
        <v>1520</v>
      </c>
      <c r="D360" s="2" t="s">
        <v>119</v>
      </c>
      <c r="E360" s="2" t="s">
        <v>120</v>
      </c>
      <c r="F360" s="2" t="s">
        <v>140</v>
      </c>
      <c r="G360" s="2" t="s">
        <v>174</v>
      </c>
      <c r="H360" s="3"/>
      <c r="I360" s="2" t="s">
        <v>1520</v>
      </c>
      <c r="J360" s="2" t="s">
        <v>127</v>
      </c>
      <c r="K360" s="2" t="s">
        <v>1442</v>
      </c>
      <c r="N360" s="2" t="s">
        <v>127</v>
      </c>
      <c r="O360" s="3">
        <v>0.22</v>
      </c>
      <c r="P360" s="3">
        <f t="shared" ref="P360:P378" si="3">IF(S360="No Incluye",O360,IF(S360="Incluye",O360/1.15,IF(S360="No Define",O360,"")))</f>
        <v>0.22</v>
      </c>
      <c r="Q360" s="47">
        <v>46147</v>
      </c>
      <c r="R360" s="3" t="s">
        <v>1201</v>
      </c>
      <c r="S360" s="3" t="s">
        <v>353</v>
      </c>
      <c r="T360" s="47">
        <v>46147</v>
      </c>
      <c r="U360" s="47">
        <v>46147</v>
      </c>
      <c r="V360" s="3" t="s">
        <v>1521</v>
      </c>
      <c r="W360" s="3" t="s">
        <v>40</v>
      </c>
      <c r="X360" s="2" t="s">
        <v>37</v>
      </c>
    </row>
    <row r="361" spans="1:24" hidden="1" x14ac:dyDescent="0.3">
      <c r="A361" s="2">
        <v>363</v>
      </c>
      <c r="B361" s="2" t="s">
        <v>1522</v>
      </c>
      <c r="C361" s="50" t="s">
        <v>1523</v>
      </c>
      <c r="D361" s="2" t="s">
        <v>119</v>
      </c>
      <c r="E361" s="2" t="s">
        <v>120</v>
      </c>
      <c r="F361" s="2" t="s">
        <v>121</v>
      </c>
      <c r="G361" s="2" t="s">
        <v>782</v>
      </c>
      <c r="H361" s="3"/>
      <c r="I361" s="2" t="s">
        <v>1523</v>
      </c>
      <c r="J361" s="2" t="s">
        <v>127</v>
      </c>
      <c r="K361" s="2" t="s">
        <v>1472</v>
      </c>
      <c r="N361" s="2" t="s">
        <v>127</v>
      </c>
      <c r="O361" s="3">
        <v>1.9</v>
      </c>
      <c r="P361" s="3">
        <f t="shared" si="3"/>
        <v>1.9</v>
      </c>
      <c r="Q361" s="47">
        <v>46147</v>
      </c>
      <c r="R361" s="3" t="s">
        <v>1201</v>
      </c>
      <c r="S361" s="3" t="s">
        <v>353</v>
      </c>
      <c r="T361" s="47">
        <v>46147</v>
      </c>
      <c r="U361" s="47">
        <v>46147</v>
      </c>
      <c r="V361" s="3" t="s">
        <v>1524</v>
      </c>
      <c r="W361" s="3" t="s">
        <v>40</v>
      </c>
      <c r="X361" s="2" t="s">
        <v>37</v>
      </c>
    </row>
    <row r="362" spans="1:24" hidden="1" x14ac:dyDescent="0.3">
      <c r="A362" s="2">
        <v>364</v>
      </c>
      <c r="B362" s="2" t="s">
        <v>1525</v>
      </c>
      <c r="C362" s="50" t="s">
        <v>1526</v>
      </c>
      <c r="D362" s="2" t="s">
        <v>119</v>
      </c>
      <c r="E362" s="2" t="s">
        <v>120</v>
      </c>
      <c r="F362" s="2" t="s">
        <v>121</v>
      </c>
      <c r="G362" s="2" t="s">
        <v>122</v>
      </c>
      <c r="H362" s="3"/>
      <c r="I362" s="2" t="s">
        <v>1526</v>
      </c>
      <c r="J362" s="2" t="s">
        <v>127</v>
      </c>
      <c r="K362" s="2" t="s">
        <v>530</v>
      </c>
      <c r="N362" s="2" t="s">
        <v>127</v>
      </c>
      <c r="O362" s="3">
        <v>0</v>
      </c>
      <c r="P362" s="3">
        <f t="shared" si="3"/>
        <v>0</v>
      </c>
      <c r="Q362" s="47">
        <v>46147</v>
      </c>
      <c r="R362" s="3" t="s">
        <v>1201</v>
      </c>
      <c r="S362" s="3" t="s">
        <v>353</v>
      </c>
      <c r="T362" s="47">
        <v>46147</v>
      </c>
      <c r="U362" s="47">
        <v>46147</v>
      </c>
      <c r="V362" s="3" t="s">
        <v>1527</v>
      </c>
      <c r="W362" s="3" t="s">
        <v>40</v>
      </c>
      <c r="X362" s="2" t="s">
        <v>41</v>
      </c>
    </row>
    <row r="363" spans="1:24" hidden="1" x14ac:dyDescent="0.3">
      <c r="A363" s="2">
        <v>365</v>
      </c>
      <c r="B363" s="2" t="s">
        <v>1528</v>
      </c>
      <c r="C363" s="50" t="s">
        <v>1529</v>
      </c>
      <c r="D363" s="2" t="s">
        <v>119</v>
      </c>
      <c r="E363" s="2" t="s">
        <v>120</v>
      </c>
      <c r="F363" s="2" t="s">
        <v>140</v>
      </c>
      <c r="G363" s="2" t="s">
        <v>141</v>
      </c>
      <c r="H363" s="3"/>
      <c r="I363" s="2" t="s">
        <v>1529</v>
      </c>
      <c r="J363" s="2" t="s">
        <v>127</v>
      </c>
      <c r="K363" s="2" t="s">
        <v>1530</v>
      </c>
      <c r="N363" s="2" t="s">
        <v>127</v>
      </c>
      <c r="O363" s="3">
        <v>0</v>
      </c>
      <c r="P363" s="3">
        <f t="shared" si="3"/>
        <v>0</v>
      </c>
      <c r="Q363" s="47">
        <v>46147</v>
      </c>
      <c r="R363" s="3" t="s">
        <v>1201</v>
      </c>
      <c r="S363" s="3" t="s">
        <v>353</v>
      </c>
      <c r="T363" s="47">
        <v>46147</v>
      </c>
      <c r="U363" s="47">
        <v>46147</v>
      </c>
      <c r="V363" s="3" t="s">
        <v>1531</v>
      </c>
      <c r="W363" s="3" t="s">
        <v>40</v>
      </c>
      <c r="X363" s="2" t="s">
        <v>41</v>
      </c>
    </row>
    <row r="364" spans="1:24" hidden="1" x14ac:dyDescent="0.3">
      <c r="A364" s="2">
        <v>366</v>
      </c>
      <c r="B364" s="2" t="s">
        <v>1532</v>
      </c>
      <c r="C364" s="50" t="s">
        <v>1533</v>
      </c>
      <c r="D364" s="2" t="s">
        <v>119</v>
      </c>
      <c r="E364" s="2" t="s">
        <v>120</v>
      </c>
      <c r="F364" s="2" t="s">
        <v>140</v>
      </c>
      <c r="G364" s="2" t="s">
        <v>526</v>
      </c>
      <c r="H364" s="3"/>
      <c r="I364" s="2" t="s">
        <v>1533</v>
      </c>
      <c r="J364" s="2" t="s">
        <v>127</v>
      </c>
      <c r="K364" s="2" t="s">
        <v>1208</v>
      </c>
      <c r="N364" s="2" t="s">
        <v>127</v>
      </c>
      <c r="O364" s="3">
        <v>0.42292999999999997</v>
      </c>
      <c r="P364" s="3">
        <f t="shared" si="3"/>
        <v>0.42292999999999997</v>
      </c>
      <c r="Q364" s="47">
        <v>46147</v>
      </c>
      <c r="R364" s="3" t="s">
        <v>1201</v>
      </c>
      <c r="S364" s="3" t="s">
        <v>353</v>
      </c>
      <c r="T364" s="47">
        <v>46147</v>
      </c>
      <c r="U364" s="47">
        <v>46147</v>
      </c>
      <c r="V364" s="3" t="s">
        <v>1534</v>
      </c>
      <c r="W364" s="3" t="s">
        <v>40</v>
      </c>
      <c r="X364" s="2" t="s">
        <v>37</v>
      </c>
    </row>
    <row r="365" spans="1:24" hidden="1" x14ac:dyDescent="0.3">
      <c r="A365" s="2">
        <v>367</v>
      </c>
      <c r="B365" s="2" t="s">
        <v>1535</v>
      </c>
      <c r="C365" s="50" t="s">
        <v>1536</v>
      </c>
      <c r="D365" s="2" t="s">
        <v>119</v>
      </c>
      <c r="E365" s="2" t="s">
        <v>120</v>
      </c>
      <c r="F365" s="2" t="s">
        <v>140</v>
      </c>
      <c r="G365" s="2" t="s">
        <v>1537</v>
      </c>
      <c r="H365" s="3"/>
      <c r="I365" s="2" t="s">
        <v>1536</v>
      </c>
      <c r="J365" s="2" t="s">
        <v>127</v>
      </c>
      <c r="N365" s="2" t="s">
        <v>127</v>
      </c>
      <c r="O365" s="3">
        <v>7.282</v>
      </c>
      <c r="P365" s="3">
        <f t="shared" si="3"/>
        <v>7.282</v>
      </c>
      <c r="Q365" s="47">
        <v>46147</v>
      </c>
      <c r="R365" s="3" t="s">
        <v>1201</v>
      </c>
      <c r="S365" s="3" t="s">
        <v>353</v>
      </c>
      <c r="T365" s="47">
        <v>46147</v>
      </c>
      <c r="U365" s="47">
        <v>46147</v>
      </c>
      <c r="V365" s="3" t="s">
        <v>1538</v>
      </c>
      <c r="W365" s="3" t="s">
        <v>40</v>
      </c>
      <c r="X365" s="2" t="s">
        <v>37</v>
      </c>
    </row>
    <row r="366" spans="1:24" hidden="1" x14ac:dyDescent="0.3">
      <c r="A366" s="2">
        <v>368</v>
      </c>
      <c r="B366" s="2" t="s">
        <v>1539</v>
      </c>
      <c r="C366" s="50" t="s">
        <v>1540</v>
      </c>
      <c r="D366" s="2" t="s">
        <v>119</v>
      </c>
      <c r="E366" s="2" t="s">
        <v>120</v>
      </c>
      <c r="F366" s="2" t="s">
        <v>140</v>
      </c>
      <c r="G366" s="2" t="s">
        <v>1541</v>
      </c>
      <c r="H366" s="3"/>
      <c r="I366" s="2" t="s">
        <v>1540</v>
      </c>
      <c r="J366" s="2" t="s">
        <v>127</v>
      </c>
      <c r="N366" s="2" t="s">
        <v>127</v>
      </c>
      <c r="O366" s="3">
        <v>24.961670000000002</v>
      </c>
      <c r="P366" s="3">
        <f t="shared" si="3"/>
        <v>24.961670000000002</v>
      </c>
      <c r="Q366" s="47">
        <v>46147</v>
      </c>
      <c r="R366" s="3" t="s">
        <v>1201</v>
      </c>
      <c r="S366" s="3" t="s">
        <v>353</v>
      </c>
      <c r="T366" s="47">
        <v>46147</v>
      </c>
      <c r="U366" s="47">
        <v>46147</v>
      </c>
      <c r="V366" s="3" t="s">
        <v>1542</v>
      </c>
      <c r="W366" s="3" t="s">
        <v>40</v>
      </c>
      <c r="X366" s="2" t="s">
        <v>37</v>
      </c>
    </row>
    <row r="367" spans="1:24" hidden="1" x14ac:dyDescent="0.3">
      <c r="A367" s="2">
        <v>369</v>
      </c>
      <c r="B367" s="2" t="s">
        <v>1543</v>
      </c>
      <c r="C367" s="50" t="s">
        <v>49</v>
      </c>
      <c r="D367" s="2" t="s">
        <v>31</v>
      </c>
      <c r="E367" s="2" t="s">
        <v>120</v>
      </c>
      <c r="F367" s="2" t="s">
        <v>33</v>
      </c>
      <c r="G367" s="2" t="s">
        <v>49</v>
      </c>
      <c r="H367" s="3"/>
      <c r="I367" s="2" t="s">
        <v>49</v>
      </c>
      <c r="J367" s="2" t="s">
        <v>36</v>
      </c>
      <c r="N367" s="2" t="s">
        <v>36</v>
      </c>
      <c r="O367" s="3">
        <v>4.17</v>
      </c>
      <c r="P367" s="3">
        <f t="shared" si="3"/>
        <v>4.17</v>
      </c>
      <c r="Q367" s="47">
        <v>46147</v>
      </c>
      <c r="R367" s="3" t="s">
        <v>1201</v>
      </c>
      <c r="S367" s="3" t="s">
        <v>353</v>
      </c>
      <c r="T367" s="47">
        <v>46147</v>
      </c>
      <c r="U367" s="47">
        <v>46147</v>
      </c>
      <c r="V367" s="3" t="s">
        <v>1544</v>
      </c>
      <c r="W367" s="3" t="s">
        <v>40</v>
      </c>
      <c r="X367" s="2" t="s">
        <v>37</v>
      </c>
    </row>
    <row r="368" spans="1:24" hidden="1" x14ac:dyDescent="0.3">
      <c r="A368" s="2">
        <v>370</v>
      </c>
      <c r="B368" s="2" t="s">
        <v>1545</v>
      </c>
      <c r="C368" s="50" t="s">
        <v>1546</v>
      </c>
      <c r="D368" s="2" t="s">
        <v>31</v>
      </c>
      <c r="E368" s="2" t="s">
        <v>120</v>
      </c>
      <c r="F368" s="2" t="s">
        <v>33</v>
      </c>
      <c r="G368" s="2" t="s">
        <v>1547</v>
      </c>
      <c r="H368" s="3"/>
      <c r="I368" s="2" t="s">
        <v>1546</v>
      </c>
      <c r="J368" s="2" t="s">
        <v>36</v>
      </c>
      <c r="N368" s="2" t="s">
        <v>36</v>
      </c>
      <c r="O368" s="3">
        <v>4.12</v>
      </c>
      <c r="P368" s="3">
        <f t="shared" si="3"/>
        <v>4.12</v>
      </c>
      <c r="Q368" s="47">
        <v>46147</v>
      </c>
      <c r="R368" s="3" t="s">
        <v>1201</v>
      </c>
      <c r="S368" s="3" t="s">
        <v>353</v>
      </c>
      <c r="T368" s="47">
        <v>46147</v>
      </c>
      <c r="U368" s="47">
        <v>46147</v>
      </c>
      <c r="V368" s="3" t="s">
        <v>1548</v>
      </c>
      <c r="W368" s="3" t="s">
        <v>40</v>
      </c>
      <c r="X368" s="2" t="s">
        <v>37</v>
      </c>
    </row>
    <row r="369" spans="1:24" hidden="1" x14ac:dyDescent="0.3">
      <c r="A369" s="2">
        <v>371</v>
      </c>
      <c r="B369" s="2" t="s">
        <v>1549</v>
      </c>
      <c r="C369" s="50" t="s">
        <v>1550</v>
      </c>
      <c r="D369" s="2" t="s">
        <v>119</v>
      </c>
      <c r="E369" s="2" t="s">
        <v>120</v>
      </c>
      <c r="F369" s="2" t="s">
        <v>140</v>
      </c>
      <c r="G369" s="2" t="s">
        <v>187</v>
      </c>
      <c r="H369" s="3"/>
      <c r="I369" s="2" t="s">
        <v>1550</v>
      </c>
      <c r="J369" s="2" t="s">
        <v>127</v>
      </c>
      <c r="K369" s="2" t="s">
        <v>1551</v>
      </c>
      <c r="N369" s="2" t="s">
        <v>127</v>
      </c>
      <c r="O369" s="3">
        <v>2.2360000000000002</v>
      </c>
      <c r="P369" s="3">
        <f t="shared" si="3"/>
        <v>2.2360000000000002</v>
      </c>
      <c r="Q369" s="47">
        <v>46147</v>
      </c>
      <c r="R369" s="3" t="s">
        <v>1201</v>
      </c>
      <c r="S369" s="3" t="s">
        <v>353</v>
      </c>
      <c r="T369" s="47">
        <v>46147</v>
      </c>
      <c r="U369" s="47">
        <v>46147</v>
      </c>
      <c r="V369" s="3" t="s">
        <v>1552</v>
      </c>
      <c r="W369" s="3" t="s">
        <v>40</v>
      </c>
      <c r="X369" s="2" t="s">
        <v>37</v>
      </c>
    </row>
    <row r="370" spans="1:24" hidden="1" x14ac:dyDescent="0.3">
      <c r="A370" s="2">
        <v>372</v>
      </c>
      <c r="B370" s="2" t="s">
        <v>1553</v>
      </c>
      <c r="C370" s="50" t="s">
        <v>1554</v>
      </c>
      <c r="D370" s="2" t="s">
        <v>119</v>
      </c>
      <c r="E370" s="2" t="s">
        <v>120</v>
      </c>
      <c r="F370" s="2" t="s">
        <v>121</v>
      </c>
      <c r="G370" s="2" t="s">
        <v>122</v>
      </c>
      <c r="H370" s="3"/>
      <c r="I370" s="2" t="s">
        <v>1554</v>
      </c>
      <c r="J370" s="2" t="s">
        <v>127</v>
      </c>
      <c r="K370" s="2" t="s">
        <v>1493</v>
      </c>
      <c r="N370" s="2" t="s">
        <v>127</v>
      </c>
      <c r="O370" s="3">
        <v>7.7847099999999996</v>
      </c>
      <c r="P370" s="3">
        <f t="shared" si="3"/>
        <v>7.7847099999999996</v>
      </c>
      <c r="Q370" s="47">
        <v>46147</v>
      </c>
      <c r="R370" s="3" t="s">
        <v>1201</v>
      </c>
      <c r="S370" s="3" t="s">
        <v>353</v>
      </c>
      <c r="T370" s="47">
        <v>46147</v>
      </c>
      <c r="U370" s="47">
        <v>46147</v>
      </c>
      <c r="V370" s="3" t="s">
        <v>1555</v>
      </c>
      <c r="W370" s="3" t="s">
        <v>40</v>
      </c>
      <c r="X370" s="2" t="s">
        <v>37</v>
      </c>
    </row>
    <row r="371" spans="1:24" hidden="1" x14ac:dyDescent="0.3">
      <c r="A371" s="2">
        <v>373</v>
      </c>
      <c r="B371" s="2" t="s">
        <v>1556</v>
      </c>
      <c r="C371" s="50" t="s">
        <v>1557</v>
      </c>
      <c r="D371" s="2" t="s">
        <v>119</v>
      </c>
      <c r="E371" s="2" t="s">
        <v>120</v>
      </c>
      <c r="F371" s="2" t="s">
        <v>140</v>
      </c>
      <c r="G371" s="2" t="s">
        <v>141</v>
      </c>
      <c r="H371" s="3"/>
      <c r="I371" s="2" t="s">
        <v>1557</v>
      </c>
      <c r="J371" s="2" t="s">
        <v>127</v>
      </c>
      <c r="K371" s="2" t="s">
        <v>1497</v>
      </c>
      <c r="N371" s="2" t="s">
        <v>127</v>
      </c>
      <c r="O371" s="3">
        <v>0.38</v>
      </c>
      <c r="P371" s="3">
        <f t="shared" si="3"/>
        <v>0.38</v>
      </c>
      <c r="Q371" s="47">
        <v>46147</v>
      </c>
      <c r="R371" s="3" t="s">
        <v>1201</v>
      </c>
      <c r="S371" s="3" t="s">
        <v>353</v>
      </c>
      <c r="T371" s="47">
        <v>46147</v>
      </c>
      <c r="U371" s="47">
        <v>46147</v>
      </c>
      <c r="V371" s="3" t="s">
        <v>1558</v>
      </c>
      <c r="W371" s="3" t="s">
        <v>40</v>
      </c>
      <c r="X371" s="2" t="s">
        <v>37</v>
      </c>
    </row>
    <row r="372" spans="1:24" hidden="1" x14ac:dyDescent="0.3">
      <c r="A372" s="2">
        <v>374</v>
      </c>
      <c r="B372" s="2" t="s">
        <v>1559</v>
      </c>
      <c r="C372" s="50" t="s">
        <v>1560</v>
      </c>
      <c r="D372" s="2" t="s">
        <v>119</v>
      </c>
      <c r="E372" s="2" t="s">
        <v>120</v>
      </c>
      <c r="F372" s="2" t="s">
        <v>140</v>
      </c>
      <c r="G372" s="2" t="s">
        <v>153</v>
      </c>
      <c r="H372" s="3"/>
      <c r="I372" s="2" t="s">
        <v>1560</v>
      </c>
      <c r="J372" s="2" t="s">
        <v>127</v>
      </c>
      <c r="K372" s="2" t="s">
        <v>1369</v>
      </c>
      <c r="N372" s="2" t="s">
        <v>127</v>
      </c>
      <c r="O372" s="3">
        <v>0.39400000000000002</v>
      </c>
      <c r="P372" s="3">
        <f t="shared" si="3"/>
        <v>0.39400000000000002</v>
      </c>
      <c r="Q372" s="47">
        <v>46147</v>
      </c>
      <c r="R372" s="3" t="s">
        <v>1201</v>
      </c>
      <c r="S372" s="3" t="s">
        <v>353</v>
      </c>
      <c r="T372" s="47">
        <v>46147</v>
      </c>
      <c r="U372" s="47">
        <v>46147</v>
      </c>
      <c r="V372" s="3" t="s">
        <v>1561</v>
      </c>
      <c r="W372" s="3" t="s">
        <v>40</v>
      </c>
      <c r="X372" s="2" t="s">
        <v>37</v>
      </c>
    </row>
    <row r="373" spans="1:24" hidden="1" x14ac:dyDescent="0.3">
      <c r="A373" s="2">
        <v>375</v>
      </c>
      <c r="B373" s="2" t="s">
        <v>1562</v>
      </c>
      <c r="C373" s="50" t="s">
        <v>1563</v>
      </c>
      <c r="D373" s="2" t="s">
        <v>31</v>
      </c>
      <c r="E373" s="2" t="s">
        <v>873</v>
      </c>
      <c r="F373" s="2" t="s">
        <v>33</v>
      </c>
      <c r="G373" s="2" t="s">
        <v>1547</v>
      </c>
      <c r="H373" s="3"/>
      <c r="I373" s="2" t="s">
        <v>1563</v>
      </c>
      <c r="J373" s="2" t="s">
        <v>36</v>
      </c>
      <c r="N373" s="2" t="s">
        <v>36</v>
      </c>
      <c r="O373" s="3">
        <v>4.12</v>
      </c>
      <c r="P373" s="3">
        <f t="shared" si="3"/>
        <v>4.12</v>
      </c>
      <c r="Q373" s="47">
        <v>46147</v>
      </c>
      <c r="R373" s="3" t="s">
        <v>1201</v>
      </c>
      <c r="S373" s="3" t="s">
        <v>353</v>
      </c>
      <c r="T373" s="47">
        <v>46147</v>
      </c>
      <c r="U373" s="47">
        <v>46147</v>
      </c>
      <c r="V373" s="3" t="s">
        <v>1564</v>
      </c>
      <c r="W373" s="3" t="s">
        <v>40</v>
      </c>
      <c r="X373" s="2" t="s">
        <v>37</v>
      </c>
    </row>
    <row r="374" spans="1:24" hidden="1" x14ac:dyDescent="0.3">
      <c r="A374" s="2">
        <v>376</v>
      </c>
      <c r="B374" s="2" t="s">
        <v>1565</v>
      </c>
      <c r="C374" s="50" t="s">
        <v>1566</v>
      </c>
      <c r="D374" s="2" t="s">
        <v>88</v>
      </c>
      <c r="E374" s="2" t="s">
        <v>873</v>
      </c>
      <c r="F374" s="2" t="s">
        <v>88</v>
      </c>
      <c r="G374" s="2" t="s">
        <v>1567</v>
      </c>
      <c r="H374" s="3"/>
      <c r="I374" s="2" t="s">
        <v>1566</v>
      </c>
      <c r="J374" s="2" t="s">
        <v>36</v>
      </c>
      <c r="N374" s="2" t="s">
        <v>36</v>
      </c>
      <c r="O374" s="3">
        <v>0.35</v>
      </c>
      <c r="P374" s="3">
        <f t="shared" si="3"/>
        <v>0.35</v>
      </c>
      <c r="Q374" s="47">
        <v>46147</v>
      </c>
      <c r="R374" s="3" t="s">
        <v>1201</v>
      </c>
      <c r="S374" s="3" t="s">
        <v>353</v>
      </c>
      <c r="T374" s="47">
        <v>46147</v>
      </c>
      <c r="U374" s="47">
        <v>46147</v>
      </c>
      <c r="V374" s="3" t="s">
        <v>1568</v>
      </c>
      <c r="W374" s="3" t="s">
        <v>40</v>
      </c>
      <c r="X374" s="2" t="s">
        <v>37</v>
      </c>
    </row>
    <row r="375" spans="1:24" hidden="1" x14ac:dyDescent="0.3">
      <c r="A375" s="2">
        <v>377</v>
      </c>
      <c r="B375" s="2" t="s">
        <v>1569</v>
      </c>
      <c r="C375" s="50" t="s">
        <v>1570</v>
      </c>
      <c r="D375" s="2" t="s">
        <v>119</v>
      </c>
      <c r="E375" s="2" t="s">
        <v>873</v>
      </c>
      <c r="F375" s="2" t="s">
        <v>140</v>
      </c>
      <c r="G375" s="2" t="s">
        <v>1571</v>
      </c>
      <c r="H375" s="3"/>
      <c r="I375" s="2" t="s">
        <v>1570</v>
      </c>
      <c r="J375" s="2" t="s">
        <v>127</v>
      </c>
      <c r="K375" s="2" t="s">
        <v>1572</v>
      </c>
      <c r="N375" s="2" t="s">
        <v>127</v>
      </c>
      <c r="O375" s="3">
        <v>2.13</v>
      </c>
      <c r="P375" s="3">
        <f t="shared" si="3"/>
        <v>2.13</v>
      </c>
      <c r="Q375" s="47">
        <v>46147</v>
      </c>
      <c r="R375" s="3" t="s">
        <v>1201</v>
      </c>
      <c r="S375" s="3" t="s">
        <v>353</v>
      </c>
      <c r="T375" s="47">
        <v>46147</v>
      </c>
      <c r="U375" s="47">
        <v>46147</v>
      </c>
      <c r="V375" s="3" t="s">
        <v>1573</v>
      </c>
      <c r="W375" s="3" t="s">
        <v>40</v>
      </c>
      <c r="X375" s="2" t="s">
        <v>37</v>
      </c>
    </row>
    <row r="376" spans="1:24" hidden="1" x14ac:dyDescent="0.3">
      <c r="A376" s="2">
        <v>378</v>
      </c>
      <c r="B376" s="2" t="s">
        <v>1574</v>
      </c>
      <c r="C376" s="50" t="s">
        <v>1575</v>
      </c>
      <c r="D376" s="2" t="s">
        <v>119</v>
      </c>
      <c r="E376" s="2" t="s">
        <v>873</v>
      </c>
      <c r="F376" s="2" t="s">
        <v>140</v>
      </c>
      <c r="G376" s="2" t="s">
        <v>1575</v>
      </c>
      <c r="H376" s="3"/>
      <c r="I376" s="2" t="s">
        <v>1575</v>
      </c>
      <c r="J376" s="2" t="s">
        <v>876</v>
      </c>
      <c r="N376" s="2" t="s">
        <v>876</v>
      </c>
      <c r="O376" s="3">
        <v>13</v>
      </c>
      <c r="P376" s="3">
        <f t="shared" si="3"/>
        <v>13</v>
      </c>
      <c r="Q376" s="47">
        <v>46147</v>
      </c>
      <c r="R376" s="3" t="s">
        <v>1201</v>
      </c>
      <c r="S376" s="3" t="s">
        <v>353</v>
      </c>
      <c r="T376" s="47">
        <v>46147</v>
      </c>
      <c r="U376" s="47">
        <v>46147</v>
      </c>
      <c r="V376" s="3" t="s">
        <v>1576</v>
      </c>
      <c r="W376" s="3" t="s">
        <v>40</v>
      </c>
      <c r="X376" s="2" t="s">
        <v>37</v>
      </c>
    </row>
    <row r="377" spans="1:24" hidden="1" x14ac:dyDescent="0.3">
      <c r="A377" s="2">
        <v>379</v>
      </c>
      <c r="B377" s="2" t="s">
        <v>1577</v>
      </c>
      <c r="C377" s="50" t="s">
        <v>1578</v>
      </c>
      <c r="D377" s="2" t="s">
        <v>119</v>
      </c>
      <c r="E377" s="2" t="s">
        <v>873</v>
      </c>
      <c r="F377" s="2" t="s">
        <v>140</v>
      </c>
      <c r="G377" s="2" t="s">
        <v>985</v>
      </c>
      <c r="H377" s="3"/>
      <c r="I377" s="2" t="s">
        <v>1578</v>
      </c>
      <c r="J377" s="2" t="s">
        <v>127</v>
      </c>
      <c r="N377" s="2" t="s">
        <v>127</v>
      </c>
      <c r="O377" s="3">
        <v>7.95</v>
      </c>
      <c r="P377" s="3">
        <f t="shared" si="3"/>
        <v>7.95</v>
      </c>
      <c r="Q377" s="47">
        <v>46147</v>
      </c>
      <c r="R377" s="3" t="s">
        <v>1201</v>
      </c>
      <c r="S377" s="3" t="s">
        <v>353</v>
      </c>
      <c r="T377" s="47">
        <v>46147</v>
      </c>
      <c r="U377" s="47">
        <v>46147</v>
      </c>
      <c r="V377" s="3" t="s">
        <v>1579</v>
      </c>
      <c r="W377" s="3" t="s">
        <v>40</v>
      </c>
      <c r="X377" s="2" t="s">
        <v>37</v>
      </c>
    </row>
    <row r="378" spans="1:24" hidden="1" x14ac:dyDescent="0.3">
      <c r="A378" s="2">
        <v>380</v>
      </c>
      <c r="B378" s="2" t="s">
        <v>1580</v>
      </c>
      <c r="C378" s="50" t="s">
        <v>1581</v>
      </c>
      <c r="D378" s="2" t="s">
        <v>119</v>
      </c>
      <c r="E378" s="2" t="s">
        <v>873</v>
      </c>
      <c r="F378" s="2" t="s">
        <v>140</v>
      </c>
      <c r="G378" s="2" t="s">
        <v>1582</v>
      </c>
      <c r="H378" s="3"/>
      <c r="I378" s="2" t="s">
        <v>1581</v>
      </c>
      <c r="J378" s="2" t="s">
        <v>876</v>
      </c>
      <c r="N378" s="2" t="s">
        <v>876</v>
      </c>
      <c r="O378" s="3">
        <v>6.5</v>
      </c>
      <c r="P378" s="3">
        <f t="shared" si="3"/>
        <v>6.5</v>
      </c>
      <c r="Q378" s="47">
        <v>46147</v>
      </c>
      <c r="R378" s="3" t="s">
        <v>1201</v>
      </c>
      <c r="S378" s="3" t="s">
        <v>353</v>
      </c>
      <c r="T378" s="47">
        <v>46147</v>
      </c>
      <c r="U378" s="47">
        <v>46147</v>
      </c>
      <c r="V378" s="3" t="s">
        <v>1583</v>
      </c>
      <c r="W378" s="3" t="s">
        <v>40</v>
      </c>
      <c r="X378" s="2" t="s">
        <v>37</v>
      </c>
    </row>
    <row r="379" spans="1:24" hidden="1" x14ac:dyDescent="0.3">
      <c r="A379" s="2">
        <v>381</v>
      </c>
      <c r="B379" s="2" t="s">
        <v>1584</v>
      </c>
      <c r="C379" s="50" t="s">
        <v>1585</v>
      </c>
      <c r="D379" s="2" t="s">
        <v>119</v>
      </c>
      <c r="E379" s="2" t="s">
        <v>873</v>
      </c>
      <c r="F379" s="2" t="s">
        <v>121</v>
      </c>
      <c r="G379" s="2" t="s">
        <v>513</v>
      </c>
      <c r="H379" s="3"/>
      <c r="I379" s="2" t="s">
        <v>1585</v>
      </c>
      <c r="J379" s="2" t="s">
        <v>127</v>
      </c>
      <c r="K379" s="2" t="s">
        <v>1586</v>
      </c>
      <c r="N379" s="2" t="s">
        <v>127</v>
      </c>
      <c r="O379" s="3">
        <v>0</v>
      </c>
      <c r="P379" s="3">
        <v>100</v>
      </c>
      <c r="Q379" s="47">
        <v>46157</v>
      </c>
      <c r="R379" s="3" t="s">
        <v>1587</v>
      </c>
      <c r="S379" s="3" t="s">
        <v>353</v>
      </c>
      <c r="T379" s="47">
        <v>46147</v>
      </c>
      <c r="U379" s="47">
        <v>46147</v>
      </c>
      <c r="V379" s="3" t="s">
        <v>1588</v>
      </c>
      <c r="W379" s="3" t="s">
        <v>40</v>
      </c>
      <c r="X379" s="2" t="s">
        <v>37</v>
      </c>
    </row>
    <row r="380" spans="1:24" x14ac:dyDescent="0.3">
      <c r="A380" s="2">
        <v>382</v>
      </c>
      <c r="B380" s="2" t="s">
        <v>1589</v>
      </c>
      <c r="C380" s="50" t="s">
        <v>1590</v>
      </c>
      <c r="D380" s="2" t="s">
        <v>119</v>
      </c>
      <c r="E380" s="2" t="s">
        <v>873</v>
      </c>
      <c r="F380" s="2" t="s">
        <v>121</v>
      </c>
      <c r="G380" s="2" t="s">
        <v>1591</v>
      </c>
      <c r="H380" s="3"/>
      <c r="I380" s="2" t="s">
        <v>1590</v>
      </c>
      <c r="J380" s="2" t="s">
        <v>127</v>
      </c>
      <c r="K380" s="2" t="s">
        <v>1592</v>
      </c>
      <c r="N380" s="2" t="s">
        <v>127</v>
      </c>
      <c r="O380" s="3">
        <v>0</v>
      </c>
      <c r="P380" s="3">
        <v>145</v>
      </c>
      <c r="Q380" s="47">
        <v>46157</v>
      </c>
      <c r="R380" s="3" t="s">
        <v>1587</v>
      </c>
      <c r="S380" s="3" t="s">
        <v>353</v>
      </c>
      <c r="T380" s="47">
        <v>46147</v>
      </c>
      <c r="U380" s="47">
        <v>46147</v>
      </c>
      <c r="V380" s="3" t="s">
        <v>1588</v>
      </c>
      <c r="W380" s="3" t="s">
        <v>40</v>
      </c>
      <c r="X380" s="2" t="s">
        <v>37</v>
      </c>
    </row>
    <row r="381" spans="1:24" hidden="1" x14ac:dyDescent="0.3">
      <c r="A381" s="2">
        <v>383</v>
      </c>
      <c r="B381" s="2" t="s">
        <v>1593</v>
      </c>
      <c r="C381" s="50" t="s">
        <v>1594</v>
      </c>
      <c r="D381" s="2" t="s">
        <v>119</v>
      </c>
      <c r="E381" s="2" t="s">
        <v>1173</v>
      </c>
      <c r="F381" s="2" t="s">
        <v>121</v>
      </c>
      <c r="G381" s="2" t="s">
        <v>1595</v>
      </c>
      <c r="H381" s="3"/>
      <c r="I381" s="2" t="s">
        <v>1596</v>
      </c>
      <c r="J381" s="2" t="s">
        <v>819</v>
      </c>
      <c r="N381" s="2" t="s">
        <v>819</v>
      </c>
      <c r="O381" s="3">
        <v>15.85</v>
      </c>
      <c r="P381" s="3">
        <v>15.85</v>
      </c>
      <c r="Q381" s="47" t="s">
        <v>1597</v>
      </c>
      <c r="R381" s="3" t="s">
        <v>1598</v>
      </c>
      <c r="S381" s="3" t="s">
        <v>353</v>
      </c>
      <c r="T381" s="47">
        <v>46147</v>
      </c>
      <c r="U381" s="47" t="s">
        <v>1597</v>
      </c>
      <c r="V381" s="3" t="s">
        <v>1599</v>
      </c>
      <c r="W381" s="3" t="s">
        <v>40</v>
      </c>
      <c r="X381" s="2" t="s">
        <v>37</v>
      </c>
    </row>
    <row r="382" spans="1:24" hidden="1" x14ac:dyDescent="0.3">
      <c r="A382" s="2">
        <v>384</v>
      </c>
      <c r="B382" s="2" t="s">
        <v>1600</v>
      </c>
      <c r="C382" s="50" t="s">
        <v>1601</v>
      </c>
      <c r="D382" s="2" t="s">
        <v>119</v>
      </c>
      <c r="E382" s="2" t="s">
        <v>1173</v>
      </c>
      <c r="F382" s="2" t="s">
        <v>121</v>
      </c>
      <c r="G382" s="2" t="s">
        <v>1595</v>
      </c>
      <c r="H382" s="3"/>
      <c r="I382" s="2" t="s">
        <v>1596</v>
      </c>
      <c r="J382" s="2" t="s">
        <v>819</v>
      </c>
      <c r="N382" s="2" t="s">
        <v>819</v>
      </c>
      <c r="O382" s="3">
        <v>16.5</v>
      </c>
      <c r="P382" s="3">
        <v>16.5</v>
      </c>
      <c r="Q382" s="47" t="s">
        <v>1597</v>
      </c>
      <c r="R382" s="3" t="s">
        <v>1598</v>
      </c>
      <c r="S382" s="3" t="s">
        <v>353</v>
      </c>
      <c r="T382" s="47">
        <v>46147</v>
      </c>
      <c r="U382" s="47" t="s">
        <v>1597</v>
      </c>
      <c r="V382" s="3" t="s">
        <v>1599</v>
      </c>
      <c r="W382" s="3" t="s">
        <v>40</v>
      </c>
      <c r="X382" s="2" t="s">
        <v>37</v>
      </c>
    </row>
    <row r="383" spans="1:24" hidden="1" x14ac:dyDescent="0.3">
      <c r="A383" s="2">
        <v>385</v>
      </c>
      <c r="B383" s="2" t="s">
        <v>1602</v>
      </c>
      <c r="C383" s="50" t="s">
        <v>1603</v>
      </c>
      <c r="D383" s="2" t="s">
        <v>119</v>
      </c>
      <c r="E383" s="2" t="s">
        <v>1173</v>
      </c>
      <c r="F383" s="2" t="s">
        <v>121</v>
      </c>
      <c r="G383" s="2" t="s">
        <v>1595</v>
      </c>
      <c r="H383" s="3"/>
      <c r="I383" s="2" t="s">
        <v>1604</v>
      </c>
      <c r="J383" s="2" t="s">
        <v>819</v>
      </c>
      <c r="N383" s="2" t="s">
        <v>819</v>
      </c>
      <c r="O383" s="3">
        <v>16.5</v>
      </c>
      <c r="P383" s="3">
        <v>16.5</v>
      </c>
      <c r="Q383" s="47" t="s">
        <v>1597</v>
      </c>
      <c r="R383" s="3" t="s">
        <v>1598</v>
      </c>
      <c r="S383" s="3" t="s">
        <v>353</v>
      </c>
      <c r="T383" s="47">
        <v>46147</v>
      </c>
      <c r="U383" s="47" t="s">
        <v>1597</v>
      </c>
      <c r="V383" s="3" t="s">
        <v>1599</v>
      </c>
      <c r="W383" s="3" t="s">
        <v>40</v>
      </c>
      <c r="X383" s="2" t="s">
        <v>37</v>
      </c>
    </row>
    <row r="384" spans="1:24" hidden="1" x14ac:dyDescent="0.3">
      <c r="A384" s="2">
        <v>386</v>
      </c>
      <c r="B384" s="2" t="s">
        <v>1605</v>
      </c>
      <c r="C384" s="50" t="s">
        <v>1606</v>
      </c>
      <c r="D384" s="2" t="s">
        <v>119</v>
      </c>
      <c r="E384" s="2" t="s">
        <v>1607</v>
      </c>
      <c r="F384" s="2" t="s">
        <v>121</v>
      </c>
      <c r="G384" s="2" t="s">
        <v>1608</v>
      </c>
      <c r="H384" s="3"/>
      <c r="I384" s="2" t="s">
        <v>1609</v>
      </c>
      <c r="J384" s="2" t="s">
        <v>127</v>
      </c>
      <c r="K384" s="2" t="s">
        <v>1610</v>
      </c>
      <c r="N384" s="2" t="s">
        <v>127</v>
      </c>
      <c r="O384" s="3">
        <v>250</v>
      </c>
      <c r="P384" s="3">
        <f t="shared" ref="P384:P391" si="4">IF(S384="No Incluye",O384,IF(S384="Incluye",O384/1.15,IF(S384="No Define",O384,"")))</f>
        <v>250</v>
      </c>
      <c r="Q384" s="47">
        <v>46147</v>
      </c>
      <c r="R384" s="3" t="s">
        <v>1611</v>
      </c>
      <c r="S384" s="3" t="s">
        <v>353</v>
      </c>
      <c r="T384" s="47">
        <v>46147</v>
      </c>
      <c r="U384" s="47">
        <v>46147</v>
      </c>
      <c r="V384" s="3" t="s">
        <v>1612</v>
      </c>
      <c r="W384" s="3" t="s">
        <v>40</v>
      </c>
      <c r="X384" s="2" t="s">
        <v>37</v>
      </c>
    </row>
    <row r="385" spans="1:24" hidden="1" x14ac:dyDescent="0.3">
      <c r="A385" s="2">
        <v>387</v>
      </c>
      <c r="B385" s="2" t="s">
        <v>1613</v>
      </c>
      <c r="C385" s="50" t="s">
        <v>1614</v>
      </c>
      <c r="D385" s="2" t="s">
        <v>119</v>
      </c>
      <c r="E385" s="2" t="s">
        <v>1607</v>
      </c>
      <c r="F385" s="2" t="s">
        <v>121</v>
      </c>
      <c r="G385" s="2" t="s">
        <v>1608</v>
      </c>
      <c r="H385" s="3"/>
      <c r="I385" s="2" t="s">
        <v>1615</v>
      </c>
      <c r="J385" s="2" t="s">
        <v>127</v>
      </c>
      <c r="K385" s="2" t="s">
        <v>1616</v>
      </c>
      <c r="N385" s="2" t="s">
        <v>127</v>
      </c>
      <c r="O385" s="3">
        <v>240</v>
      </c>
      <c r="P385" s="3">
        <f t="shared" si="4"/>
        <v>240</v>
      </c>
      <c r="Q385" s="47">
        <v>46147</v>
      </c>
      <c r="R385" s="3" t="s">
        <v>1611</v>
      </c>
      <c r="S385" s="3" t="s">
        <v>353</v>
      </c>
      <c r="T385" s="47">
        <v>46147</v>
      </c>
      <c r="U385" s="47">
        <v>46147</v>
      </c>
      <c r="V385" s="3" t="s">
        <v>1612</v>
      </c>
      <c r="W385" s="3" t="s">
        <v>40</v>
      </c>
      <c r="X385" s="2" t="s">
        <v>37</v>
      </c>
    </row>
    <row r="386" spans="1:24" hidden="1" x14ac:dyDescent="0.3">
      <c r="A386" s="2">
        <v>388</v>
      </c>
      <c r="B386" s="2" t="s">
        <v>1617</v>
      </c>
      <c r="C386" s="50" t="s">
        <v>1618</v>
      </c>
      <c r="D386" s="2" t="s">
        <v>119</v>
      </c>
      <c r="E386" s="2" t="s">
        <v>1607</v>
      </c>
      <c r="F386" s="2" t="s">
        <v>121</v>
      </c>
      <c r="G386" s="2" t="s">
        <v>1608</v>
      </c>
      <c r="H386" s="3"/>
      <c r="I386" s="2" t="s">
        <v>1619</v>
      </c>
      <c r="J386" s="2" t="s">
        <v>127</v>
      </c>
      <c r="K386" s="2" t="s">
        <v>1620</v>
      </c>
      <c r="N386" s="2" t="s">
        <v>127</v>
      </c>
      <c r="O386" s="3">
        <v>360</v>
      </c>
      <c r="P386" s="3">
        <f t="shared" si="4"/>
        <v>360</v>
      </c>
      <c r="Q386" s="47">
        <v>46147</v>
      </c>
      <c r="R386" s="3" t="s">
        <v>1611</v>
      </c>
      <c r="S386" s="3" t="s">
        <v>353</v>
      </c>
      <c r="T386" s="47">
        <v>46147</v>
      </c>
      <c r="U386" s="47">
        <v>46147</v>
      </c>
      <c r="V386" s="3" t="s">
        <v>1612</v>
      </c>
      <c r="W386" s="3" t="s">
        <v>40</v>
      </c>
      <c r="X386" s="2" t="s">
        <v>37</v>
      </c>
    </row>
    <row r="387" spans="1:24" hidden="1" x14ac:dyDescent="0.3">
      <c r="A387" s="2">
        <v>389</v>
      </c>
      <c r="B387" s="2" t="s">
        <v>1621</v>
      </c>
      <c r="C387" s="50" t="s">
        <v>1622</v>
      </c>
      <c r="D387" s="2" t="s">
        <v>119</v>
      </c>
      <c r="E387" s="2" t="s">
        <v>1607</v>
      </c>
      <c r="F387" s="2" t="s">
        <v>121</v>
      </c>
      <c r="G387" s="2" t="s">
        <v>603</v>
      </c>
      <c r="H387" s="3"/>
      <c r="I387" s="2" t="s">
        <v>1623</v>
      </c>
      <c r="J387" s="2" t="s">
        <v>127</v>
      </c>
      <c r="K387" s="2" t="s">
        <v>1624</v>
      </c>
      <c r="N387" s="2" t="s">
        <v>127</v>
      </c>
      <c r="O387" s="3">
        <v>60</v>
      </c>
      <c r="P387" s="3">
        <f t="shared" si="4"/>
        <v>60</v>
      </c>
      <c r="Q387" s="47">
        <v>46147</v>
      </c>
      <c r="R387" s="3" t="s">
        <v>1611</v>
      </c>
      <c r="S387" s="3" t="s">
        <v>353</v>
      </c>
      <c r="T387" s="47">
        <v>46147</v>
      </c>
      <c r="U387" s="47">
        <v>46147</v>
      </c>
      <c r="V387" s="3" t="s">
        <v>1625</v>
      </c>
      <c r="W387" s="3" t="s">
        <v>40</v>
      </c>
      <c r="X387" s="2" t="s">
        <v>37</v>
      </c>
    </row>
    <row r="388" spans="1:24" hidden="1" x14ac:dyDescent="0.3">
      <c r="A388" s="2">
        <v>390</v>
      </c>
      <c r="B388" s="2" t="s">
        <v>1626</v>
      </c>
      <c r="C388" s="50" t="s">
        <v>1627</v>
      </c>
      <c r="D388" s="2" t="s">
        <v>119</v>
      </c>
      <c r="E388" s="2" t="s">
        <v>1607</v>
      </c>
      <c r="F388" s="2" t="s">
        <v>121</v>
      </c>
      <c r="G388" s="2" t="s">
        <v>603</v>
      </c>
      <c r="H388" s="3"/>
      <c r="I388" s="2" t="s">
        <v>1628</v>
      </c>
      <c r="J388" s="2" t="s">
        <v>127</v>
      </c>
      <c r="N388" s="2" t="s">
        <v>127</v>
      </c>
      <c r="O388" s="3">
        <v>60</v>
      </c>
      <c r="P388" s="3">
        <f t="shared" si="4"/>
        <v>60</v>
      </c>
      <c r="Q388" s="47">
        <v>46147</v>
      </c>
      <c r="R388" s="3" t="s">
        <v>1611</v>
      </c>
      <c r="S388" s="3" t="s">
        <v>353</v>
      </c>
      <c r="T388" s="47">
        <v>46147</v>
      </c>
      <c r="U388" s="47">
        <v>46147</v>
      </c>
      <c r="V388" s="3" t="s">
        <v>1625</v>
      </c>
      <c r="W388" s="3" t="s">
        <v>40</v>
      </c>
      <c r="X388" s="2" t="s">
        <v>37</v>
      </c>
    </row>
    <row r="389" spans="1:24" hidden="1" x14ac:dyDescent="0.3">
      <c r="A389" s="2">
        <v>391</v>
      </c>
      <c r="B389" s="2" t="s">
        <v>1629</v>
      </c>
      <c r="C389" s="50" t="s">
        <v>1630</v>
      </c>
      <c r="D389" s="2" t="s">
        <v>119</v>
      </c>
      <c r="E389" s="2" t="s">
        <v>1607</v>
      </c>
      <c r="F389" s="2" t="s">
        <v>121</v>
      </c>
      <c r="G389" s="2" t="s">
        <v>603</v>
      </c>
      <c r="H389" s="3"/>
      <c r="I389" s="2" t="s">
        <v>1631</v>
      </c>
      <c r="J389" s="2" t="s">
        <v>127</v>
      </c>
      <c r="N389" s="2" t="s">
        <v>127</v>
      </c>
      <c r="O389" s="3">
        <v>60</v>
      </c>
      <c r="P389" s="3">
        <f t="shared" si="4"/>
        <v>60</v>
      </c>
      <c r="Q389" s="47">
        <v>46147</v>
      </c>
      <c r="R389" s="3" t="s">
        <v>1611</v>
      </c>
      <c r="S389" s="3" t="s">
        <v>353</v>
      </c>
      <c r="T389" s="47">
        <v>46147</v>
      </c>
      <c r="U389" s="47">
        <v>46147</v>
      </c>
      <c r="V389" s="3" t="s">
        <v>1625</v>
      </c>
      <c r="W389" s="3" t="s">
        <v>40</v>
      </c>
      <c r="X389" s="2" t="s">
        <v>37</v>
      </c>
    </row>
    <row r="390" spans="1:24" hidden="1" x14ac:dyDescent="0.3">
      <c r="A390" s="2">
        <v>392</v>
      </c>
      <c r="B390" s="2" t="s">
        <v>1632</v>
      </c>
      <c r="C390" s="50" t="s">
        <v>1633</v>
      </c>
      <c r="D390" s="2" t="s">
        <v>119</v>
      </c>
      <c r="E390" s="2" t="s">
        <v>1607</v>
      </c>
      <c r="F390" s="2" t="s">
        <v>121</v>
      </c>
      <c r="G390" s="2" t="s">
        <v>1634</v>
      </c>
      <c r="H390" s="3"/>
      <c r="I390" s="2" t="s">
        <v>1635</v>
      </c>
      <c r="J390" s="2" t="s">
        <v>127</v>
      </c>
      <c r="N390" s="2" t="s">
        <v>127</v>
      </c>
      <c r="O390" s="3">
        <v>680</v>
      </c>
      <c r="P390" s="3">
        <f t="shared" si="4"/>
        <v>680</v>
      </c>
      <c r="Q390" s="47">
        <v>46147</v>
      </c>
      <c r="R390" s="3" t="s">
        <v>1611</v>
      </c>
      <c r="S390" s="3" t="s">
        <v>353</v>
      </c>
      <c r="T390" s="47">
        <v>46147</v>
      </c>
      <c r="U390" s="47">
        <v>46147</v>
      </c>
      <c r="V390" s="3" t="s">
        <v>1625</v>
      </c>
      <c r="W390" s="3" t="s">
        <v>40</v>
      </c>
      <c r="X390" s="2" t="s">
        <v>37</v>
      </c>
    </row>
    <row r="391" spans="1:24" hidden="1" x14ac:dyDescent="0.3">
      <c r="A391" s="2">
        <v>393</v>
      </c>
      <c r="B391" s="2" t="s">
        <v>1636</v>
      </c>
      <c r="C391" s="50" t="s">
        <v>1637</v>
      </c>
      <c r="D391" s="2" t="s">
        <v>119</v>
      </c>
      <c r="E391" s="2" t="s">
        <v>1607</v>
      </c>
      <c r="F391" s="2" t="s">
        <v>121</v>
      </c>
      <c r="G391" s="2" t="s">
        <v>1634</v>
      </c>
      <c r="H391" s="3"/>
      <c r="I391" s="2" t="s">
        <v>1638</v>
      </c>
      <c r="J391" s="2" t="s">
        <v>127</v>
      </c>
      <c r="N391" s="2" t="s">
        <v>127</v>
      </c>
      <c r="O391" s="3">
        <v>170</v>
      </c>
      <c r="P391" s="3">
        <f t="shared" si="4"/>
        <v>170</v>
      </c>
      <c r="Q391" s="47">
        <v>46147</v>
      </c>
      <c r="R391" s="3" t="s">
        <v>1611</v>
      </c>
      <c r="S391" s="3" t="s">
        <v>353</v>
      </c>
      <c r="T391" s="47">
        <v>46147</v>
      </c>
      <c r="U391" s="47">
        <v>46147</v>
      </c>
      <c r="V391" s="3" t="s">
        <v>1625</v>
      </c>
      <c r="W391" s="3" t="s">
        <v>40</v>
      </c>
      <c r="X391" s="2" t="s">
        <v>37</v>
      </c>
    </row>
    <row r="392" spans="1:24" hidden="1" x14ac:dyDescent="0.3">
      <c r="A392" s="2">
        <v>394</v>
      </c>
      <c r="B392" s="2" t="s">
        <v>1639</v>
      </c>
      <c r="C392" s="50" t="s">
        <v>1640</v>
      </c>
      <c r="D392" s="2" t="s">
        <v>119</v>
      </c>
      <c r="E392" s="2" t="s">
        <v>1641</v>
      </c>
      <c r="F392" s="2" t="s">
        <v>121</v>
      </c>
      <c r="G392" s="2" t="s">
        <v>1608</v>
      </c>
      <c r="H392" s="3"/>
      <c r="I392" s="2" t="s">
        <v>1642</v>
      </c>
      <c r="J392" s="2" t="s">
        <v>127</v>
      </c>
      <c r="N392" s="2" t="s">
        <v>127</v>
      </c>
      <c r="O392" s="3">
        <v>305</v>
      </c>
      <c r="P392" s="3">
        <v>305</v>
      </c>
      <c r="Q392" s="47" t="s">
        <v>727</v>
      </c>
      <c r="R392" s="3" t="s">
        <v>1643</v>
      </c>
      <c r="S392" s="3" t="s">
        <v>353</v>
      </c>
      <c r="T392" s="47">
        <v>46147</v>
      </c>
      <c r="U392" s="47" t="s">
        <v>727</v>
      </c>
      <c r="V392" s="3" t="s">
        <v>1625</v>
      </c>
      <c r="W392" s="3" t="s">
        <v>40</v>
      </c>
      <c r="X392" s="2" t="s">
        <v>37</v>
      </c>
    </row>
    <row r="393" spans="1:24" hidden="1" x14ac:dyDescent="0.3">
      <c r="A393" s="2">
        <v>395</v>
      </c>
      <c r="B393" s="2" t="s">
        <v>1644</v>
      </c>
      <c r="C393" s="50" t="s">
        <v>1645</v>
      </c>
      <c r="D393" s="2" t="s">
        <v>119</v>
      </c>
      <c r="E393" s="2" t="s">
        <v>1641</v>
      </c>
      <c r="F393" s="2" t="s">
        <v>121</v>
      </c>
      <c r="G393" s="2" t="s">
        <v>1062</v>
      </c>
      <c r="H393" s="3"/>
      <c r="I393" s="2" t="s">
        <v>1646</v>
      </c>
      <c r="J393" s="2" t="s">
        <v>1150</v>
      </c>
      <c r="N393" s="2" t="s">
        <v>1150</v>
      </c>
      <c r="O393" s="3">
        <v>75</v>
      </c>
      <c r="P393" s="3">
        <v>75</v>
      </c>
      <c r="Q393" s="47" t="s">
        <v>727</v>
      </c>
      <c r="R393" s="3" t="s">
        <v>1643</v>
      </c>
      <c r="S393" s="3" t="s">
        <v>353</v>
      </c>
      <c r="T393" s="47">
        <v>46147</v>
      </c>
      <c r="U393" s="47" t="s">
        <v>727</v>
      </c>
      <c r="V393" s="3" t="s">
        <v>1625</v>
      </c>
      <c r="W393" s="3" t="s">
        <v>40</v>
      </c>
      <c r="X393" s="2" t="s">
        <v>37</v>
      </c>
    </row>
    <row r="394" spans="1:24" hidden="1" x14ac:dyDescent="0.3">
      <c r="A394" s="2">
        <v>396</v>
      </c>
      <c r="B394" s="2" t="s">
        <v>1647</v>
      </c>
      <c r="C394" s="50" t="s">
        <v>1648</v>
      </c>
      <c r="D394" s="2" t="s">
        <v>119</v>
      </c>
      <c r="E394" s="2" t="s">
        <v>1641</v>
      </c>
      <c r="F394" s="2" t="s">
        <v>121</v>
      </c>
      <c r="G394" s="2" t="s">
        <v>1062</v>
      </c>
      <c r="H394" s="3"/>
      <c r="I394" s="2" t="s">
        <v>1649</v>
      </c>
      <c r="J394" s="2" t="s">
        <v>1150</v>
      </c>
      <c r="N394" s="2" t="s">
        <v>1150</v>
      </c>
      <c r="O394" s="3">
        <v>120</v>
      </c>
      <c r="P394" s="3">
        <v>120</v>
      </c>
      <c r="Q394" s="47" t="s">
        <v>727</v>
      </c>
      <c r="R394" s="3" t="s">
        <v>1643</v>
      </c>
      <c r="S394" s="3" t="s">
        <v>353</v>
      </c>
      <c r="T394" s="47">
        <v>46147</v>
      </c>
      <c r="U394" s="47" t="s">
        <v>727</v>
      </c>
      <c r="V394" s="3" t="s">
        <v>1625</v>
      </c>
      <c r="W394" s="3" t="s">
        <v>40</v>
      </c>
      <c r="X394" s="2" t="s">
        <v>37</v>
      </c>
    </row>
    <row r="395" spans="1:24" hidden="1" x14ac:dyDescent="0.3">
      <c r="A395" s="2">
        <v>397</v>
      </c>
      <c r="B395" s="2" t="s">
        <v>1650</v>
      </c>
      <c r="C395" s="50" t="s">
        <v>1651</v>
      </c>
      <c r="D395" s="2" t="s">
        <v>119</v>
      </c>
      <c r="E395" s="2" t="s">
        <v>1652</v>
      </c>
      <c r="F395" s="2" t="s">
        <v>121</v>
      </c>
      <c r="G395" s="2" t="s">
        <v>1608</v>
      </c>
      <c r="H395" s="3"/>
      <c r="I395" s="2" t="s">
        <v>1651</v>
      </c>
      <c r="J395" s="2" t="s">
        <v>127</v>
      </c>
      <c r="K395" s="2" t="s">
        <v>1653</v>
      </c>
      <c r="N395" s="2" t="s">
        <v>127</v>
      </c>
      <c r="O395" s="3">
        <v>218.86</v>
      </c>
      <c r="P395" s="3">
        <f t="shared" ref="P395:P403" si="5">IF(S395="No Incluye",O395,IF(S395="Incluye",O395/1.15,IF(S395="No Define",O395,"")))</f>
        <v>218.86</v>
      </c>
      <c r="Q395" s="47">
        <v>46147</v>
      </c>
      <c r="R395" s="3" t="s">
        <v>1654</v>
      </c>
      <c r="S395" s="3" t="s">
        <v>353</v>
      </c>
      <c r="T395" s="47">
        <v>46147</v>
      </c>
      <c r="U395" s="47">
        <v>46147</v>
      </c>
      <c r="V395" s="3" t="s">
        <v>1655</v>
      </c>
      <c r="W395" s="3" t="s">
        <v>40</v>
      </c>
      <c r="X395" s="2" t="s">
        <v>37</v>
      </c>
    </row>
    <row r="396" spans="1:24" hidden="1" x14ac:dyDescent="0.3">
      <c r="A396" s="2">
        <v>398</v>
      </c>
      <c r="B396" s="2" t="s">
        <v>1656</v>
      </c>
      <c r="C396" s="50" t="s">
        <v>1657</v>
      </c>
      <c r="D396" s="2" t="s">
        <v>119</v>
      </c>
      <c r="E396" s="2" t="s">
        <v>1652</v>
      </c>
      <c r="F396" s="2" t="s">
        <v>121</v>
      </c>
      <c r="G396" s="2" t="s">
        <v>1608</v>
      </c>
      <c r="H396" s="3"/>
      <c r="I396" s="2" t="s">
        <v>1657</v>
      </c>
      <c r="J396" s="2" t="s">
        <v>127</v>
      </c>
      <c r="K396" s="2" t="s">
        <v>1658</v>
      </c>
      <c r="N396" s="2" t="s">
        <v>127</v>
      </c>
      <c r="O396" s="3">
        <v>418.97</v>
      </c>
      <c r="P396" s="3">
        <f t="shared" si="5"/>
        <v>418.97</v>
      </c>
      <c r="Q396" s="47">
        <v>46147</v>
      </c>
      <c r="R396" s="3" t="s">
        <v>1659</v>
      </c>
      <c r="S396" s="3" t="s">
        <v>353</v>
      </c>
      <c r="T396" s="47">
        <v>46147</v>
      </c>
      <c r="U396" s="47">
        <v>46147</v>
      </c>
      <c r="V396" s="3" t="s">
        <v>1660</v>
      </c>
      <c r="W396" s="3" t="s">
        <v>40</v>
      </c>
      <c r="X396" s="2" t="s">
        <v>37</v>
      </c>
    </row>
    <row r="397" spans="1:24" hidden="1" x14ac:dyDescent="0.3">
      <c r="A397" s="2">
        <v>399</v>
      </c>
      <c r="B397" s="2" t="s">
        <v>1661</v>
      </c>
      <c r="C397" s="50" t="s">
        <v>1662</v>
      </c>
      <c r="D397" s="2" t="s">
        <v>119</v>
      </c>
      <c r="E397" s="2" t="s">
        <v>1652</v>
      </c>
      <c r="F397" s="2" t="s">
        <v>121</v>
      </c>
      <c r="G397" s="2" t="s">
        <v>1608</v>
      </c>
      <c r="H397" s="3"/>
      <c r="I397" s="2" t="s">
        <v>1662</v>
      </c>
      <c r="J397" s="2" t="s">
        <v>127</v>
      </c>
      <c r="K397" s="2" t="s">
        <v>1663</v>
      </c>
      <c r="N397" s="2" t="s">
        <v>127</v>
      </c>
      <c r="O397" s="3">
        <v>488.8</v>
      </c>
      <c r="P397" s="3">
        <f t="shared" si="5"/>
        <v>488.8</v>
      </c>
      <c r="Q397" s="47">
        <v>46147</v>
      </c>
      <c r="R397" s="3" t="s">
        <v>1664</v>
      </c>
      <c r="S397" s="3" t="s">
        <v>353</v>
      </c>
      <c r="T397" s="47">
        <v>46147</v>
      </c>
      <c r="U397" s="47">
        <v>46147</v>
      </c>
      <c r="V397" s="3" t="s">
        <v>1665</v>
      </c>
      <c r="W397" s="3" t="s">
        <v>40</v>
      </c>
      <c r="X397" s="2" t="s">
        <v>37</v>
      </c>
    </row>
    <row r="398" spans="1:24" hidden="1" x14ac:dyDescent="0.3">
      <c r="A398" s="2">
        <v>400</v>
      </c>
      <c r="B398" s="2" t="s">
        <v>1666</v>
      </c>
      <c r="C398" s="50" t="s">
        <v>1667</v>
      </c>
      <c r="D398" s="2" t="s">
        <v>119</v>
      </c>
      <c r="E398" s="2" t="s">
        <v>1652</v>
      </c>
      <c r="F398" s="2" t="s">
        <v>121</v>
      </c>
      <c r="G398" s="2" t="s">
        <v>1668</v>
      </c>
      <c r="H398" s="3"/>
      <c r="I398" s="2" t="s">
        <v>1667</v>
      </c>
      <c r="J398" s="2" t="s">
        <v>819</v>
      </c>
      <c r="K398" s="2" t="s">
        <v>1669</v>
      </c>
      <c r="N398" s="2" t="s">
        <v>819</v>
      </c>
      <c r="O398" s="3">
        <v>82</v>
      </c>
      <c r="P398" s="3">
        <f t="shared" si="5"/>
        <v>82</v>
      </c>
      <c r="Q398" s="47">
        <v>46147</v>
      </c>
      <c r="R398" s="3" t="s">
        <v>1670</v>
      </c>
      <c r="S398" s="3" t="s">
        <v>353</v>
      </c>
      <c r="T398" s="47">
        <v>46147</v>
      </c>
      <c r="U398" s="47">
        <v>46147</v>
      </c>
      <c r="V398" s="3" t="s">
        <v>1671</v>
      </c>
      <c r="W398" s="3" t="s">
        <v>40</v>
      </c>
      <c r="X398" s="2" t="s">
        <v>37</v>
      </c>
    </row>
    <row r="399" spans="1:24" hidden="1" x14ac:dyDescent="0.3">
      <c r="A399" s="2">
        <v>401</v>
      </c>
      <c r="B399" s="2" t="s">
        <v>1672</v>
      </c>
      <c r="C399" s="50" t="s">
        <v>1673</v>
      </c>
      <c r="D399" s="2" t="s">
        <v>119</v>
      </c>
      <c r="E399" s="2" t="s">
        <v>1652</v>
      </c>
      <c r="F399" s="2" t="s">
        <v>121</v>
      </c>
      <c r="G399" s="2" t="s">
        <v>1668</v>
      </c>
      <c r="H399" s="3"/>
      <c r="I399" s="2" t="s">
        <v>1673</v>
      </c>
      <c r="J399" s="2" t="s">
        <v>819</v>
      </c>
      <c r="K399" s="2" t="s">
        <v>1669</v>
      </c>
      <c r="N399" s="2" t="s">
        <v>819</v>
      </c>
      <c r="O399" s="3">
        <v>86.1</v>
      </c>
      <c r="P399" s="3">
        <f t="shared" si="5"/>
        <v>86.1</v>
      </c>
      <c r="Q399" s="47">
        <v>46147</v>
      </c>
      <c r="R399" s="3" t="s">
        <v>1674</v>
      </c>
      <c r="S399" s="3" t="s">
        <v>353</v>
      </c>
      <c r="T399" s="47">
        <v>46147</v>
      </c>
      <c r="U399" s="47">
        <v>46147</v>
      </c>
      <c r="V399" s="3" t="s">
        <v>1675</v>
      </c>
      <c r="W399" s="3" t="s">
        <v>40</v>
      </c>
      <c r="X399" s="2" t="s">
        <v>37</v>
      </c>
    </row>
    <row r="400" spans="1:24" hidden="1" x14ac:dyDescent="0.3">
      <c r="A400" s="2">
        <v>402</v>
      </c>
      <c r="B400" s="2" t="s">
        <v>1676</v>
      </c>
      <c r="C400" s="50" t="s">
        <v>1677</v>
      </c>
      <c r="D400" s="2" t="s">
        <v>119</v>
      </c>
      <c r="E400" s="2" t="s">
        <v>873</v>
      </c>
      <c r="F400" s="2" t="s">
        <v>121</v>
      </c>
      <c r="G400" s="2" t="s">
        <v>1678</v>
      </c>
      <c r="H400" s="3"/>
      <c r="I400" s="2" t="s">
        <v>1677</v>
      </c>
      <c r="J400" s="2" t="s">
        <v>819</v>
      </c>
      <c r="N400" s="2" t="s">
        <v>819</v>
      </c>
      <c r="O400" s="3">
        <v>0</v>
      </c>
      <c r="P400" s="3">
        <f t="shared" si="5"/>
        <v>0</v>
      </c>
      <c r="Q400" s="47">
        <v>46147</v>
      </c>
      <c r="R400" s="3" t="s">
        <v>1679</v>
      </c>
      <c r="S400" s="3" t="s">
        <v>353</v>
      </c>
      <c r="T400" s="47">
        <v>46147</v>
      </c>
      <c r="U400" s="47">
        <v>46147</v>
      </c>
      <c r="V400" s="3" t="s">
        <v>1680</v>
      </c>
      <c r="W400" s="3" t="s">
        <v>40</v>
      </c>
      <c r="X400" s="2" t="s">
        <v>41</v>
      </c>
    </row>
    <row r="401" spans="1:24" hidden="1" x14ac:dyDescent="0.3">
      <c r="A401" s="2">
        <v>403</v>
      </c>
      <c r="B401" s="2" t="s">
        <v>1681</v>
      </c>
      <c r="C401" s="50" t="s">
        <v>1682</v>
      </c>
      <c r="D401" s="2" t="s">
        <v>119</v>
      </c>
      <c r="E401" s="2" t="s">
        <v>873</v>
      </c>
      <c r="F401" s="2" t="s">
        <v>121</v>
      </c>
      <c r="G401" s="2" t="s">
        <v>1683</v>
      </c>
      <c r="H401" s="3"/>
      <c r="I401" s="2" t="s">
        <v>1682</v>
      </c>
      <c r="J401" s="2" t="s">
        <v>1150</v>
      </c>
      <c r="N401" s="2" t="s">
        <v>1150</v>
      </c>
      <c r="O401" s="3">
        <v>0</v>
      </c>
      <c r="P401" s="3">
        <f t="shared" si="5"/>
        <v>0</v>
      </c>
      <c r="Q401" s="47">
        <v>46147</v>
      </c>
      <c r="R401" s="3" t="s">
        <v>1679</v>
      </c>
      <c r="S401" s="3" t="s">
        <v>353</v>
      </c>
      <c r="T401" s="47">
        <v>46147</v>
      </c>
      <c r="U401" s="47">
        <v>46147</v>
      </c>
      <c r="V401" s="3" t="s">
        <v>1680</v>
      </c>
      <c r="W401" s="3" t="s">
        <v>40</v>
      </c>
      <c r="X401" s="2" t="s">
        <v>41</v>
      </c>
    </row>
    <row r="402" spans="1:24" hidden="1" x14ac:dyDescent="0.3">
      <c r="A402" s="2">
        <v>404</v>
      </c>
      <c r="B402" s="2" t="s">
        <v>1684</v>
      </c>
      <c r="C402" s="50" t="s">
        <v>1685</v>
      </c>
      <c r="D402" s="2" t="s">
        <v>119</v>
      </c>
      <c r="E402" s="2" t="s">
        <v>873</v>
      </c>
      <c r="F402" s="2" t="s">
        <v>121</v>
      </c>
      <c r="G402" s="2" t="s">
        <v>1683</v>
      </c>
      <c r="H402" s="3"/>
      <c r="I402" s="2" t="s">
        <v>1685</v>
      </c>
      <c r="J402" s="2" t="s">
        <v>1150</v>
      </c>
      <c r="N402" s="2" t="s">
        <v>1150</v>
      </c>
      <c r="O402" s="3">
        <v>0</v>
      </c>
      <c r="P402" s="3">
        <f t="shared" si="5"/>
        <v>0</v>
      </c>
      <c r="Q402" s="47">
        <v>46147</v>
      </c>
      <c r="R402" s="3" t="s">
        <v>1679</v>
      </c>
      <c r="S402" s="3" t="s">
        <v>353</v>
      </c>
      <c r="T402" s="47">
        <v>46147</v>
      </c>
      <c r="U402" s="47">
        <v>46147</v>
      </c>
      <c r="V402" s="3" t="s">
        <v>1680</v>
      </c>
      <c r="W402" s="3" t="s">
        <v>40</v>
      </c>
      <c r="X402" s="2" t="s">
        <v>41</v>
      </c>
    </row>
    <row r="403" spans="1:24" hidden="1" x14ac:dyDescent="0.3">
      <c r="A403" s="2">
        <v>405</v>
      </c>
      <c r="B403" s="2" t="s">
        <v>1686</v>
      </c>
      <c r="C403" s="50" t="s">
        <v>1687</v>
      </c>
      <c r="D403" s="2" t="s">
        <v>119</v>
      </c>
      <c r="E403" s="2" t="s">
        <v>873</v>
      </c>
      <c r="F403" s="2" t="s">
        <v>121</v>
      </c>
      <c r="G403" s="2" t="s">
        <v>1683</v>
      </c>
      <c r="H403" s="3"/>
      <c r="I403" s="2" t="s">
        <v>1687</v>
      </c>
      <c r="J403" s="2" t="s">
        <v>1150</v>
      </c>
      <c r="N403" s="2" t="s">
        <v>1150</v>
      </c>
      <c r="O403" s="3">
        <v>0</v>
      </c>
      <c r="P403" s="3">
        <f t="shared" si="5"/>
        <v>0</v>
      </c>
      <c r="Q403" s="47">
        <v>46147</v>
      </c>
      <c r="R403" s="3" t="s">
        <v>1679</v>
      </c>
      <c r="S403" s="3" t="s">
        <v>353</v>
      </c>
      <c r="T403" s="47">
        <v>46147</v>
      </c>
      <c r="U403" s="47">
        <v>46147</v>
      </c>
      <c r="V403" s="3" t="s">
        <v>1680</v>
      </c>
      <c r="W403" s="3" t="s">
        <v>40</v>
      </c>
      <c r="X403" s="2" t="s">
        <v>41</v>
      </c>
    </row>
    <row r="404" spans="1:24" hidden="1" x14ac:dyDescent="0.3">
      <c r="A404" s="2">
        <v>406</v>
      </c>
      <c r="B404" s="2" t="s">
        <v>1688</v>
      </c>
      <c r="C404" s="50" t="s">
        <v>1689</v>
      </c>
      <c r="D404" s="2" t="s">
        <v>119</v>
      </c>
      <c r="E404" s="2" t="s">
        <v>873</v>
      </c>
      <c r="F404" s="2" t="s">
        <v>121</v>
      </c>
      <c r="G404" s="2" t="s">
        <v>1690</v>
      </c>
      <c r="H404" s="3"/>
      <c r="I404" s="2" t="s">
        <v>1691</v>
      </c>
      <c r="J404" s="2" t="s">
        <v>1150</v>
      </c>
      <c r="L404" t="s">
        <v>1692</v>
      </c>
      <c r="M404" t="s">
        <v>1693</v>
      </c>
      <c r="N404" s="2" t="s">
        <v>1150</v>
      </c>
      <c r="O404" s="3">
        <v>42.73</v>
      </c>
      <c r="P404" s="3">
        <v>42.73</v>
      </c>
      <c r="Q404" s="47">
        <v>46157</v>
      </c>
      <c r="R404" s="3" t="s">
        <v>1587</v>
      </c>
      <c r="S404" s="3" t="s">
        <v>38</v>
      </c>
      <c r="T404" s="47">
        <v>46147</v>
      </c>
      <c r="U404" s="47">
        <v>46157</v>
      </c>
      <c r="V404" s="3" t="s">
        <v>1694</v>
      </c>
      <c r="W404" s="3" t="s">
        <v>40</v>
      </c>
      <c r="X404" s="2" t="s">
        <v>37</v>
      </c>
    </row>
    <row r="405" spans="1:24" hidden="1" x14ac:dyDescent="0.3">
      <c r="A405" s="2">
        <v>407</v>
      </c>
      <c r="B405" s="2" t="s">
        <v>1695</v>
      </c>
      <c r="C405" s="50" t="s">
        <v>1696</v>
      </c>
      <c r="D405" s="2" t="s">
        <v>119</v>
      </c>
      <c r="E405" s="2" t="s">
        <v>873</v>
      </c>
      <c r="F405" s="2" t="s">
        <v>121</v>
      </c>
      <c r="G405" s="2" t="s">
        <v>1697</v>
      </c>
      <c r="H405" s="3"/>
      <c r="I405" s="2" t="s">
        <v>1696</v>
      </c>
      <c r="J405" s="2" t="s">
        <v>819</v>
      </c>
      <c r="N405" s="2" t="s">
        <v>819</v>
      </c>
      <c r="O405" s="3">
        <v>0</v>
      </c>
      <c r="P405" s="3">
        <v>5.5</v>
      </c>
      <c r="Q405" s="47">
        <v>46157</v>
      </c>
      <c r="R405" s="3" t="s">
        <v>1587</v>
      </c>
      <c r="S405" s="3" t="s">
        <v>353</v>
      </c>
      <c r="T405" s="47">
        <v>46147</v>
      </c>
      <c r="U405" s="47">
        <v>46147</v>
      </c>
      <c r="V405" s="3" t="s">
        <v>1588</v>
      </c>
      <c r="W405" s="3" t="s">
        <v>40</v>
      </c>
      <c r="X405" s="2" t="s">
        <v>37</v>
      </c>
    </row>
    <row r="406" spans="1:24" hidden="1" x14ac:dyDescent="0.3">
      <c r="A406" s="2">
        <v>408</v>
      </c>
      <c r="B406" s="2" t="s">
        <v>1698</v>
      </c>
      <c r="C406" s="50" t="s">
        <v>1699</v>
      </c>
      <c r="D406" s="2" t="s">
        <v>119</v>
      </c>
      <c r="E406" s="2" t="s">
        <v>873</v>
      </c>
      <c r="F406" s="2" t="s">
        <v>121</v>
      </c>
      <c r="G406" s="2" t="s">
        <v>1700</v>
      </c>
      <c r="H406" s="3"/>
      <c r="I406" s="2" t="s">
        <v>1699</v>
      </c>
      <c r="J406" s="2" t="s">
        <v>876</v>
      </c>
      <c r="N406" s="2" t="s">
        <v>876</v>
      </c>
      <c r="O406" s="3">
        <v>0</v>
      </c>
      <c r="P406" s="3">
        <v>14</v>
      </c>
      <c r="Q406" s="47">
        <v>46157</v>
      </c>
      <c r="R406" s="3" t="s">
        <v>1587</v>
      </c>
      <c r="S406" s="3" t="s">
        <v>353</v>
      </c>
      <c r="T406" s="47">
        <v>46147</v>
      </c>
      <c r="U406" s="47">
        <v>46147</v>
      </c>
      <c r="V406" s="3" t="s">
        <v>1588</v>
      </c>
      <c r="W406" s="3" t="s">
        <v>40</v>
      </c>
      <c r="X406" s="2" t="s">
        <v>37</v>
      </c>
    </row>
    <row r="407" spans="1:24" hidden="1" x14ac:dyDescent="0.3">
      <c r="A407" s="2">
        <v>409</v>
      </c>
      <c r="B407" s="2" t="s">
        <v>1701</v>
      </c>
      <c r="C407" s="50" t="s">
        <v>1702</v>
      </c>
      <c r="D407" s="2" t="s">
        <v>119</v>
      </c>
      <c r="E407" s="2" t="s">
        <v>873</v>
      </c>
      <c r="F407" s="2" t="s">
        <v>121</v>
      </c>
      <c r="G407" s="2" t="s">
        <v>1703</v>
      </c>
      <c r="H407" s="3"/>
      <c r="I407" s="2" t="s">
        <v>1702</v>
      </c>
      <c r="J407" s="2" t="s">
        <v>876</v>
      </c>
      <c r="N407" s="2" t="s">
        <v>876</v>
      </c>
      <c r="O407" s="3">
        <v>0</v>
      </c>
      <c r="P407" s="3">
        <v>20.57</v>
      </c>
      <c r="Q407" s="47">
        <v>46157</v>
      </c>
      <c r="R407" s="3" t="s">
        <v>1587</v>
      </c>
      <c r="S407" s="3" t="s">
        <v>353</v>
      </c>
      <c r="T407" s="47">
        <v>46147</v>
      </c>
      <c r="U407" s="47">
        <v>46147</v>
      </c>
      <c r="V407" s="3" t="s">
        <v>1588</v>
      </c>
      <c r="W407" s="3" t="s">
        <v>40</v>
      </c>
      <c r="X407" s="2" t="s">
        <v>37</v>
      </c>
    </row>
    <row r="408" spans="1:24" hidden="1" x14ac:dyDescent="0.3">
      <c r="A408" s="2">
        <v>410</v>
      </c>
      <c r="B408" s="2" t="s">
        <v>1704</v>
      </c>
      <c r="C408" s="50" t="s">
        <v>1705</v>
      </c>
      <c r="D408" s="2" t="s">
        <v>119</v>
      </c>
      <c r="E408" s="2" t="s">
        <v>873</v>
      </c>
      <c r="F408" s="2" t="s">
        <v>121</v>
      </c>
      <c r="G408" s="2" t="s">
        <v>1706</v>
      </c>
      <c r="H408" s="3"/>
      <c r="I408" s="2" t="s">
        <v>1705</v>
      </c>
      <c r="J408" s="2" t="s">
        <v>819</v>
      </c>
      <c r="N408" s="2" t="s">
        <v>819</v>
      </c>
      <c r="O408" s="3">
        <v>0</v>
      </c>
      <c r="P408" s="3">
        <v>1.37</v>
      </c>
      <c r="Q408" s="47">
        <v>46157</v>
      </c>
      <c r="R408" s="3" t="s">
        <v>1587</v>
      </c>
      <c r="S408" s="3" t="s">
        <v>353</v>
      </c>
      <c r="T408" s="47">
        <v>46147</v>
      </c>
      <c r="U408" s="47">
        <v>46147</v>
      </c>
      <c r="V408" s="3" t="s">
        <v>1588</v>
      </c>
      <c r="W408" s="3" t="s">
        <v>40</v>
      </c>
      <c r="X408" s="2" t="s">
        <v>37</v>
      </c>
    </row>
    <row r="409" spans="1:24" hidden="1" x14ac:dyDescent="0.3">
      <c r="A409" s="2">
        <v>407</v>
      </c>
      <c r="B409" s="2" t="s">
        <v>1707</v>
      </c>
      <c r="C409" s="50" t="s">
        <v>1708</v>
      </c>
      <c r="D409" s="2" t="s">
        <v>119</v>
      </c>
      <c r="E409" s="2" t="s">
        <v>1652</v>
      </c>
      <c r="F409" s="2" t="s">
        <v>121</v>
      </c>
      <c r="G409" s="2" t="s">
        <v>1668</v>
      </c>
      <c r="H409" s="3"/>
      <c r="I409" s="2" t="s">
        <v>1709</v>
      </c>
      <c r="J409" s="2" t="s">
        <v>819</v>
      </c>
      <c r="K409" s="2" t="s">
        <v>1669</v>
      </c>
      <c r="N409" s="2" t="s">
        <v>819</v>
      </c>
      <c r="O409" s="3">
        <v>125.09</v>
      </c>
      <c r="P409" s="3">
        <f>IF(S409="No Incluye",O409,IF(S409="Incluye",O409/1.15,IF(S409="No Define",O409,"")))</f>
        <v>125.09</v>
      </c>
      <c r="Q409" s="47">
        <v>46147</v>
      </c>
      <c r="R409" s="3" t="s">
        <v>1710</v>
      </c>
      <c r="S409" s="3" t="s">
        <v>353</v>
      </c>
      <c r="T409" s="47">
        <v>46147</v>
      </c>
      <c r="U409" s="47">
        <v>46147</v>
      </c>
      <c r="V409" s="3" t="s">
        <v>1711</v>
      </c>
      <c r="W409" s="3" t="s">
        <v>40</v>
      </c>
      <c r="X409" s="2" t="s">
        <v>37</v>
      </c>
    </row>
    <row r="410" spans="1:24" hidden="1" x14ac:dyDescent="0.3">
      <c r="A410">
        <v>411</v>
      </c>
      <c r="B410" t="s">
        <v>1712</v>
      </c>
      <c r="C410" t="s">
        <v>1713</v>
      </c>
      <c r="D410" t="s">
        <v>31</v>
      </c>
      <c r="E410" t="s">
        <v>815</v>
      </c>
      <c r="F410" t="s">
        <v>33</v>
      </c>
      <c r="G410" t="s">
        <v>1595</v>
      </c>
      <c r="I410" t="s">
        <v>1714</v>
      </c>
      <c r="J410" t="s">
        <v>819</v>
      </c>
      <c r="M410" t="s">
        <v>1715</v>
      </c>
      <c r="N410" t="s">
        <v>819</v>
      </c>
      <c r="O410">
        <v>8.5</v>
      </c>
      <c r="P410">
        <v>8.5</v>
      </c>
      <c r="Q410" t="s">
        <v>1597</v>
      </c>
      <c r="R410" t="s">
        <v>1716</v>
      </c>
      <c r="S410" t="s">
        <v>38</v>
      </c>
      <c r="T410" t="s">
        <v>727</v>
      </c>
      <c r="U410" t="s">
        <v>1597</v>
      </c>
      <c r="V410" t="s">
        <v>1717</v>
      </c>
      <c r="W410" t="s">
        <v>40</v>
      </c>
      <c r="X410" t="s">
        <v>37</v>
      </c>
    </row>
    <row r="411" spans="1:24" hidden="1" x14ac:dyDescent="0.3">
      <c r="A411">
        <v>412</v>
      </c>
      <c r="B411" t="s">
        <v>1718</v>
      </c>
      <c r="C411" t="s">
        <v>1719</v>
      </c>
      <c r="D411" t="s">
        <v>31</v>
      </c>
      <c r="E411" t="s">
        <v>815</v>
      </c>
      <c r="F411" t="s">
        <v>33</v>
      </c>
      <c r="G411" t="s">
        <v>1595</v>
      </c>
      <c r="I411" t="s">
        <v>1720</v>
      </c>
      <c r="J411" t="s">
        <v>1150</v>
      </c>
      <c r="M411" t="s">
        <v>1721</v>
      </c>
      <c r="N411" t="s">
        <v>1150</v>
      </c>
      <c r="O411">
        <v>2.5</v>
      </c>
      <c r="P411">
        <v>2.5</v>
      </c>
      <c r="Q411" t="s">
        <v>1597</v>
      </c>
      <c r="R411" t="s">
        <v>1716</v>
      </c>
      <c r="S411" t="s">
        <v>38</v>
      </c>
      <c r="T411" t="s">
        <v>727</v>
      </c>
      <c r="U411" t="s">
        <v>1597</v>
      </c>
      <c r="V411" t="s">
        <v>1722</v>
      </c>
      <c r="W411" t="s">
        <v>40</v>
      </c>
      <c r="X411" t="s">
        <v>37</v>
      </c>
    </row>
    <row r="412" spans="1:24" hidden="1" x14ac:dyDescent="0.3">
      <c r="A412">
        <v>413</v>
      </c>
      <c r="B412" t="s">
        <v>1723</v>
      </c>
      <c r="C412" t="s">
        <v>1724</v>
      </c>
      <c r="D412" t="s">
        <v>31</v>
      </c>
      <c r="E412" t="s">
        <v>815</v>
      </c>
      <c r="F412" t="s">
        <v>33</v>
      </c>
      <c r="G412" t="s">
        <v>1595</v>
      </c>
      <c r="I412" t="s">
        <v>1725</v>
      </c>
      <c r="J412" t="s">
        <v>819</v>
      </c>
      <c r="M412" t="s">
        <v>1715</v>
      </c>
      <c r="N412" t="s">
        <v>819</v>
      </c>
      <c r="O412">
        <v>6.25</v>
      </c>
      <c r="P412">
        <v>6.25</v>
      </c>
      <c r="Q412" t="s">
        <v>1597</v>
      </c>
      <c r="R412" t="s">
        <v>1716</v>
      </c>
      <c r="S412" t="s">
        <v>38</v>
      </c>
      <c r="T412" t="s">
        <v>727</v>
      </c>
      <c r="U412" t="s">
        <v>1597</v>
      </c>
      <c r="V412" t="s">
        <v>1726</v>
      </c>
      <c r="W412" t="s">
        <v>40</v>
      </c>
      <c r="X412" t="s">
        <v>37</v>
      </c>
    </row>
    <row r="413" spans="1:24" hidden="1" x14ac:dyDescent="0.3">
      <c r="A413">
        <v>414</v>
      </c>
      <c r="B413" t="s">
        <v>1727</v>
      </c>
      <c r="C413" t="s">
        <v>1728</v>
      </c>
      <c r="D413" t="s">
        <v>31</v>
      </c>
      <c r="E413" t="s">
        <v>815</v>
      </c>
      <c r="F413" t="s">
        <v>33</v>
      </c>
      <c r="G413" t="s">
        <v>1595</v>
      </c>
      <c r="I413" t="s">
        <v>1729</v>
      </c>
      <c r="J413" t="s">
        <v>819</v>
      </c>
      <c r="M413" t="s">
        <v>1730</v>
      </c>
      <c r="N413" t="s">
        <v>819</v>
      </c>
      <c r="O413">
        <v>6</v>
      </c>
      <c r="P413">
        <v>6</v>
      </c>
      <c r="Q413" t="s">
        <v>1597</v>
      </c>
      <c r="R413" t="s">
        <v>1716</v>
      </c>
      <c r="S413" t="s">
        <v>38</v>
      </c>
      <c r="T413" t="s">
        <v>727</v>
      </c>
      <c r="U413" t="s">
        <v>1597</v>
      </c>
      <c r="V413" t="s">
        <v>1731</v>
      </c>
      <c r="W413" t="s">
        <v>40</v>
      </c>
      <c r="X413" t="s">
        <v>37</v>
      </c>
    </row>
    <row r="414" spans="1:24" hidden="1" x14ac:dyDescent="0.3">
      <c r="A414">
        <v>415</v>
      </c>
      <c r="B414" t="s">
        <v>1732</v>
      </c>
      <c r="C414" t="s">
        <v>1733</v>
      </c>
      <c r="D414" t="s">
        <v>31</v>
      </c>
      <c r="E414" t="s">
        <v>815</v>
      </c>
      <c r="F414" t="s">
        <v>33</v>
      </c>
      <c r="G414" t="s">
        <v>1595</v>
      </c>
      <c r="I414" t="s">
        <v>1734</v>
      </c>
      <c r="J414" t="s">
        <v>819</v>
      </c>
      <c r="M414" t="s">
        <v>1735</v>
      </c>
      <c r="N414" t="s">
        <v>819</v>
      </c>
      <c r="O414">
        <v>26.21</v>
      </c>
      <c r="P414">
        <v>26.21</v>
      </c>
      <c r="Q414" t="s">
        <v>1597</v>
      </c>
      <c r="R414" t="s">
        <v>1716</v>
      </c>
      <c r="S414" t="s">
        <v>38</v>
      </c>
      <c r="T414" t="s">
        <v>727</v>
      </c>
      <c r="U414" t="s">
        <v>1597</v>
      </c>
      <c r="V414" t="s">
        <v>1736</v>
      </c>
      <c r="W414" t="s">
        <v>40</v>
      </c>
      <c r="X414" t="s">
        <v>37</v>
      </c>
    </row>
    <row r="415" spans="1:24" hidden="1" x14ac:dyDescent="0.3">
      <c r="A415">
        <v>416</v>
      </c>
      <c r="B415" t="s">
        <v>1737</v>
      </c>
      <c r="C415" t="s">
        <v>1738</v>
      </c>
      <c r="D415" t="s">
        <v>31</v>
      </c>
      <c r="E415" t="s">
        <v>815</v>
      </c>
      <c r="F415" t="s">
        <v>33</v>
      </c>
      <c r="G415" t="s">
        <v>1595</v>
      </c>
      <c r="I415" t="s">
        <v>1739</v>
      </c>
      <c r="J415" t="s">
        <v>1150</v>
      </c>
      <c r="M415" t="s">
        <v>1740</v>
      </c>
      <c r="N415" t="s">
        <v>1150</v>
      </c>
      <c r="O415">
        <v>2.5</v>
      </c>
      <c r="P415">
        <v>2.5</v>
      </c>
      <c r="Q415" t="s">
        <v>1597</v>
      </c>
      <c r="R415" t="s">
        <v>1716</v>
      </c>
      <c r="S415" t="s">
        <v>38</v>
      </c>
      <c r="T415" t="s">
        <v>727</v>
      </c>
      <c r="U415" t="s">
        <v>1597</v>
      </c>
      <c r="V415" t="s">
        <v>1741</v>
      </c>
      <c r="W415" t="s">
        <v>40</v>
      </c>
      <c r="X415" t="s">
        <v>37</v>
      </c>
    </row>
    <row r="416" spans="1:24" hidden="1" x14ac:dyDescent="0.3">
      <c r="A416">
        <v>417</v>
      </c>
      <c r="B416" t="s">
        <v>1742</v>
      </c>
      <c r="C416" t="s">
        <v>1743</v>
      </c>
      <c r="D416" t="s">
        <v>31</v>
      </c>
      <c r="E416" t="s">
        <v>815</v>
      </c>
      <c r="F416" t="s">
        <v>33</v>
      </c>
      <c r="G416" t="s">
        <v>1595</v>
      </c>
      <c r="I416" t="s">
        <v>1744</v>
      </c>
      <c r="J416" t="s">
        <v>819</v>
      </c>
      <c r="M416" t="s">
        <v>1745</v>
      </c>
      <c r="N416" t="s">
        <v>819</v>
      </c>
      <c r="O416">
        <v>35</v>
      </c>
      <c r="P416">
        <v>35</v>
      </c>
      <c r="Q416" t="s">
        <v>1597</v>
      </c>
      <c r="R416" t="s">
        <v>1716</v>
      </c>
      <c r="S416" t="s">
        <v>38</v>
      </c>
      <c r="T416" t="s">
        <v>727</v>
      </c>
      <c r="U416" t="s">
        <v>1597</v>
      </c>
      <c r="V416" t="s">
        <v>1746</v>
      </c>
      <c r="W416" t="s">
        <v>40</v>
      </c>
      <c r="X416" t="s">
        <v>37</v>
      </c>
    </row>
    <row r="417" spans="1:24" hidden="1" x14ac:dyDescent="0.3">
      <c r="A417">
        <v>418</v>
      </c>
      <c r="B417" t="s">
        <v>1747</v>
      </c>
      <c r="C417" t="s">
        <v>1748</v>
      </c>
      <c r="D417" t="s">
        <v>31</v>
      </c>
      <c r="E417" t="s">
        <v>815</v>
      </c>
      <c r="F417" t="s">
        <v>33</v>
      </c>
      <c r="G417" t="s">
        <v>1595</v>
      </c>
      <c r="I417" t="s">
        <v>1749</v>
      </c>
      <c r="J417" t="s">
        <v>1150</v>
      </c>
      <c r="M417" t="s">
        <v>1750</v>
      </c>
      <c r="N417" t="s">
        <v>1150</v>
      </c>
      <c r="O417">
        <v>15</v>
      </c>
      <c r="P417">
        <v>15</v>
      </c>
      <c r="Q417" t="s">
        <v>1597</v>
      </c>
      <c r="R417" t="s">
        <v>1716</v>
      </c>
      <c r="S417" t="s">
        <v>38</v>
      </c>
      <c r="T417" t="s">
        <v>727</v>
      </c>
      <c r="U417" t="s">
        <v>1597</v>
      </c>
      <c r="V417" t="s">
        <v>1751</v>
      </c>
      <c r="W417" t="s">
        <v>40</v>
      </c>
      <c r="X417" t="s">
        <v>37</v>
      </c>
    </row>
    <row r="418" spans="1:24" hidden="1" x14ac:dyDescent="0.3">
      <c r="A418">
        <v>419</v>
      </c>
      <c r="B418" t="s">
        <v>1752</v>
      </c>
      <c r="C418" t="s">
        <v>1753</v>
      </c>
      <c r="D418" t="s">
        <v>31</v>
      </c>
      <c r="E418" t="s">
        <v>1173</v>
      </c>
      <c r="F418" t="s">
        <v>33</v>
      </c>
      <c r="G418" t="s">
        <v>1595</v>
      </c>
      <c r="I418" t="s">
        <v>1754</v>
      </c>
      <c r="J418" t="s">
        <v>819</v>
      </c>
      <c r="M418" t="s">
        <v>1755</v>
      </c>
      <c r="N418" t="s">
        <v>819</v>
      </c>
      <c r="O418">
        <v>15.85</v>
      </c>
      <c r="P418">
        <v>15.85</v>
      </c>
      <c r="Q418" t="s">
        <v>1597</v>
      </c>
      <c r="R418" t="s">
        <v>1756</v>
      </c>
      <c r="S418" t="s">
        <v>38</v>
      </c>
      <c r="T418" t="s">
        <v>1597</v>
      </c>
      <c r="U418" t="s">
        <v>1597</v>
      </c>
      <c r="V418" t="s">
        <v>1757</v>
      </c>
      <c r="W418" t="s">
        <v>40</v>
      </c>
      <c r="X418" t="s">
        <v>37</v>
      </c>
    </row>
    <row r="419" spans="1:24" hidden="1" x14ac:dyDescent="0.3">
      <c r="A419">
        <v>420</v>
      </c>
      <c r="B419" t="s">
        <v>1758</v>
      </c>
      <c r="C419" t="s">
        <v>1759</v>
      </c>
      <c r="D419" t="s">
        <v>31</v>
      </c>
      <c r="E419" t="s">
        <v>1173</v>
      </c>
      <c r="F419" t="s">
        <v>33</v>
      </c>
      <c r="G419" t="s">
        <v>1595</v>
      </c>
      <c r="I419" t="s">
        <v>1760</v>
      </c>
      <c r="J419" t="s">
        <v>819</v>
      </c>
      <c r="M419" t="s">
        <v>1755</v>
      </c>
      <c r="N419" t="s">
        <v>819</v>
      </c>
      <c r="O419">
        <v>16.5</v>
      </c>
      <c r="P419">
        <v>16.5</v>
      </c>
      <c r="Q419" t="s">
        <v>1597</v>
      </c>
      <c r="R419" t="s">
        <v>1756</v>
      </c>
      <c r="S419" t="s">
        <v>38</v>
      </c>
      <c r="T419" t="s">
        <v>1597</v>
      </c>
      <c r="U419" t="s">
        <v>1597</v>
      </c>
      <c r="V419" t="s">
        <v>1761</v>
      </c>
      <c r="W419" t="s">
        <v>40</v>
      </c>
      <c r="X419" t="s">
        <v>37</v>
      </c>
    </row>
    <row r="420" spans="1:24" hidden="1" x14ac:dyDescent="0.3">
      <c r="A420">
        <v>421</v>
      </c>
      <c r="B420" t="s">
        <v>1762</v>
      </c>
      <c r="C420" t="s">
        <v>1763</v>
      </c>
      <c r="D420" t="s">
        <v>31</v>
      </c>
      <c r="E420" t="s">
        <v>1173</v>
      </c>
      <c r="F420" t="s">
        <v>33</v>
      </c>
      <c r="G420" t="s">
        <v>1595</v>
      </c>
      <c r="I420" t="s">
        <v>1764</v>
      </c>
      <c r="J420" t="s">
        <v>819</v>
      </c>
      <c r="M420" t="s">
        <v>1765</v>
      </c>
      <c r="N420" t="s">
        <v>819</v>
      </c>
      <c r="O420">
        <v>16.5</v>
      </c>
      <c r="P420">
        <v>16.5</v>
      </c>
      <c r="Q420" t="s">
        <v>1597</v>
      </c>
      <c r="R420" t="s">
        <v>1756</v>
      </c>
      <c r="S420" t="s">
        <v>38</v>
      </c>
      <c r="T420" t="s">
        <v>1597</v>
      </c>
      <c r="U420" t="s">
        <v>1597</v>
      </c>
      <c r="V420" t="s">
        <v>1766</v>
      </c>
      <c r="W420" t="s">
        <v>40</v>
      </c>
      <c r="X420" t="s">
        <v>37</v>
      </c>
    </row>
    <row r="421" spans="1:24" hidden="1" x14ac:dyDescent="0.3">
      <c r="A421">
        <v>422</v>
      </c>
      <c r="B421" t="s">
        <v>1767</v>
      </c>
      <c r="C421" t="s">
        <v>1768</v>
      </c>
      <c r="D421" t="s">
        <v>31</v>
      </c>
      <c r="E421" t="s">
        <v>1062</v>
      </c>
      <c r="F421" t="s">
        <v>33</v>
      </c>
      <c r="G421" t="s">
        <v>1595</v>
      </c>
      <c r="I421" t="s">
        <v>1769</v>
      </c>
      <c r="J421" t="s">
        <v>819</v>
      </c>
      <c r="M421" t="s">
        <v>1770</v>
      </c>
      <c r="N421" t="s">
        <v>819</v>
      </c>
      <c r="O421">
        <v>6.71</v>
      </c>
      <c r="P421">
        <v>6.71</v>
      </c>
      <c r="Q421" t="s">
        <v>1597</v>
      </c>
      <c r="R421" t="s">
        <v>1771</v>
      </c>
      <c r="S421" t="s">
        <v>38</v>
      </c>
      <c r="T421" t="s">
        <v>1597</v>
      </c>
      <c r="U421" t="s">
        <v>1597</v>
      </c>
      <c r="V421" t="s">
        <v>1772</v>
      </c>
      <c r="W421" t="s">
        <v>40</v>
      </c>
      <c r="X421" t="s">
        <v>37</v>
      </c>
    </row>
    <row r="422" spans="1:24" hidden="1" x14ac:dyDescent="0.3">
      <c r="A422">
        <v>423</v>
      </c>
      <c r="B422" t="s">
        <v>1773</v>
      </c>
      <c r="C422" t="s">
        <v>1774</v>
      </c>
      <c r="D422" t="s">
        <v>31</v>
      </c>
      <c r="E422" t="s">
        <v>1062</v>
      </c>
      <c r="F422" t="s">
        <v>33</v>
      </c>
      <c r="G422" t="s">
        <v>1595</v>
      </c>
      <c r="I422" t="s">
        <v>1775</v>
      </c>
      <c r="J422" t="s">
        <v>819</v>
      </c>
      <c r="M422" t="s">
        <v>1770</v>
      </c>
      <c r="N422" t="s">
        <v>819</v>
      </c>
      <c r="O422">
        <v>5.5</v>
      </c>
      <c r="P422">
        <v>5.5</v>
      </c>
      <c r="Q422" t="s">
        <v>1597</v>
      </c>
      <c r="R422" t="s">
        <v>1776</v>
      </c>
      <c r="S422" t="s">
        <v>38</v>
      </c>
      <c r="T422" t="s">
        <v>1597</v>
      </c>
      <c r="U422" t="s">
        <v>1597</v>
      </c>
      <c r="V422" t="s">
        <v>1777</v>
      </c>
      <c r="W422" t="s">
        <v>40</v>
      </c>
      <c r="X422" t="s">
        <v>37</v>
      </c>
    </row>
    <row r="423" spans="1:24" hidden="1" x14ac:dyDescent="0.3">
      <c r="A423">
        <v>424</v>
      </c>
      <c r="B423" t="s">
        <v>1778</v>
      </c>
      <c r="C423" t="s">
        <v>1779</v>
      </c>
      <c r="D423" t="s">
        <v>31</v>
      </c>
      <c r="E423" t="s">
        <v>1062</v>
      </c>
      <c r="F423" t="s">
        <v>33</v>
      </c>
      <c r="G423" t="s">
        <v>1595</v>
      </c>
      <c r="I423" t="s">
        <v>1780</v>
      </c>
      <c r="J423" t="s">
        <v>819</v>
      </c>
      <c r="M423" t="s">
        <v>1770</v>
      </c>
      <c r="N423" t="s">
        <v>819</v>
      </c>
      <c r="O423">
        <v>5.5</v>
      </c>
      <c r="P423">
        <v>5.5</v>
      </c>
      <c r="Q423" t="s">
        <v>1597</v>
      </c>
      <c r="R423" t="s">
        <v>1776</v>
      </c>
      <c r="S423" t="s">
        <v>38</v>
      </c>
      <c r="T423" t="s">
        <v>1597</v>
      </c>
      <c r="U423" t="s">
        <v>1597</v>
      </c>
      <c r="V423" t="s">
        <v>1777</v>
      </c>
      <c r="W423" t="s">
        <v>40</v>
      </c>
      <c r="X423" t="s">
        <v>37</v>
      </c>
    </row>
    <row r="424" spans="1:24" hidden="1" x14ac:dyDescent="0.3">
      <c r="A424" s="2">
        <f>425</f>
        <v>425</v>
      </c>
      <c r="B424" s="2" t="s">
        <v>1781</v>
      </c>
      <c r="C424" s="1" t="s">
        <v>1782</v>
      </c>
      <c r="D424" s="2" t="s">
        <v>119</v>
      </c>
      <c r="E424" s="2" t="s">
        <v>1062</v>
      </c>
      <c r="F424" s="2" t="s">
        <v>121</v>
      </c>
      <c r="G424" s="2" t="s">
        <v>1062</v>
      </c>
      <c r="H424" s="3" t="s">
        <v>1063</v>
      </c>
      <c r="I424" s="2" t="s">
        <v>1783</v>
      </c>
      <c r="J424" s="2" t="s">
        <v>1065</v>
      </c>
      <c r="L424" s="2" t="s">
        <v>1784</v>
      </c>
      <c r="N424" s="2" t="s">
        <v>127</v>
      </c>
      <c r="O424" s="3">
        <f>25</f>
        <v>25</v>
      </c>
      <c r="P424" s="3">
        <f t="array" ref="P424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21.739130434782609</v>
      </c>
      <c r="Q424" s="47">
        <v>46148</v>
      </c>
      <c r="R424" s="3" t="s">
        <v>1785</v>
      </c>
      <c r="S424" s="3" t="s">
        <v>398</v>
      </c>
      <c r="T424" s="47">
        <v>46148</v>
      </c>
      <c r="U424" s="47">
        <v>46148</v>
      </c>
      <c r="V424" s="3" t="s">
        <v>1786</v>
      </c>
      <c r="W424" s="3" t="s">
        <v>40</v>
      </c>
      <c r="X424" s="2" t="s">
        <v>37</v>
      </c>
    </row>
    <row r="425" spans="1:24" hidden="1" x14ac:dyDescent="0.3">
      <c r="A425" s="2">
        <f>426</f>
        <v>426</v>
      </c>
      <c r="B425" s="2" t="s">
        <v>1787</v>
      </c>
      <c r="C425" s="1" t="s">
        <v>1788</v>
      </c>
      <c r="D425" s="2" t="s">
        <v>119</v>
      </c>
      <c r="E425" s="2" t="s">
        <v>1062</v>
      </c>
      <c r="F425" s="2" t="s">
        <v>121</v>
      </c>
      <c r="G425" s="2" t="s">
        <v>1062</v>
      </c>
      <c r="H425" s="3" t="s">
        <v>1063</v>
      </c>
      <c r="I425" s="2" t="s">
        <v>1783</v>
      </c>
      <c r="J425" s="2" t="s">
        <v>1065</v>
      </c>
      <c r="L425" s="2" t="s">
        <v>1789</v>
      </c>
      <c r="N425" s="2" t="s">
        <v>127</v>
      </c>
      <c r="O425" s="3">
        <f>25</f>
        <v>25</v>
      </c>
      <c r="P425" s="3">
        <f t="array" ref="P425">+_xlfn.IFS(tblRecursos[[#This Row],[Iva]]="No Incluye",tblRecursos[[#This Row],[Precio Mercado]],tblRecursos[[#This Row],[Iva]]="Incluye",tblRecursos[[#This Row],[Precio Mercado]]/1.15,tblRecursos[[#This Row],[Iva]]="No Define",tblRecursos[[#This Row],[Precio Mercado]])</f>
        <v>21.739130434782609</v>
      </c>
      <c r="Q425" s="47">
        <v>46148</v>
      </c>
      <c r="R425" s="3" t="s">
        <v>1785</v>
      </c>
      <c r="S425" s="3" t="s">
        <v>398</v>
      </c>
      <c r="T425" s="47">
        <v>46148</v>
      </c>
      <c r="U425" s="47">
        <v>46148</v>
      </c>
      <c r="V425" s="3" t="s">
        <v>1786</v>
      </c>
      <c r="W425" s="3" t="s">
        <v>40</v>
      </c>
      <c r="X425" s="2" t="s">
        <v>37</v>
      </c>
    </row>
    <row r="426" spans="1:24" hidden="1" x14ac:dyDescent="0.3">
      <c r="A426">
        <v>425</v>
      </c>
      <c r="B426" t="s">
        <v>1790</v>
      </c>
      <c r="C426" t="s">
        <v>1791</v>
      </c>
      <c r="D426" t="s">
        <v>119</v>
      </c>
      <c r="E426" t="s">
        <v>1029</v>
      </c>
      <c r="F426" t="s">
        <v>121</v>
      </c>
      <c r="G426" t="s">
        <v>1029</v>
      </c>
      <c r="I426" t="s">
        <v>1791</v>
      </c>
      <c r="J426" t="s">
        <v>987</v>
      </c>
      <c r="K426" t="s">
        <v>1019</v>
      </c>
      <c r="N426" t="s">
        <v>127</v>
      </c>
      <c r="O426">
        <v>5.6159999999999997</v>
      </c>
      <c r="P426">
        <v>5.6159999999999997</v>
      </c>
      <c r="Q426" s="52">
        <v>46083</v>
      </c>
      <c r="R426" t="s">
        <v>1030</v>
      </c>
      <c r="S426" t="s">
        <v>38</v>
      </c>
      <c r="T426" s="52">
        <v>46155</v>
      </c>
      <c r="U426" s="52">
        <v>46155</v>
      </c>
      <c r="V426" t="s">
        <v>1792</v>
      </c>
      <c r="W426" t="s">
        <v>40</v>
      </c>
      <c r="X426" t="s">
        <v>37</v>
      </c>
    </row>
    <row r="427" spans="1:24" hidden="1" x14ac:dyDescent="0.3">
      <c r="A427" s="51">
        <v>426</v>
      </c>
      <c r="B427" s="51" t="s">
        <v>1793</v>
      </c>
      <c r="C427" s="51" t="s">
        <v>1794</v>
      </c>
      <c r="D427" s="51" t="s">
        <v>88</v>
      </c>
      <c r="E427" s="51" t="s">
        <v>32</v>
      </c>
      <c r="F427" s="51" t="s">
        <v>88</v>
      </c>
      <c r="G427" s="51" t="s">
        <v>1795</v>
      </c>
      <c r="H427" s="51"/>
      <c r="I427" s="51" t="s">
        <v>1796</v>
      </c>
      <c r="J427" s="51" t="s">
        <v>1797</v>
      </c>
      <c r="K427" s="51"/>
      <c r="L427" s="51"/>
      <c r="M427" s="51" t="s">
        <v>1798</v>
      </c>
      <c r="N427" s="51" t="s">
        <v>1797</v>
      </c>
      <c r="O427" s="51">
        <v>0.09</v>
      </c>
      <c r="P427" s="51">
        <v>0.09</v>
      </c>
      <c r="Q427" s="53">
        <v>46156</v>
      </c>
      <c r="R427" s="51" t="s">
        <v>1799</v>
      </c>
      <c r="S427" s="51" t="s">
        <v>38</v>
      </c>
      <c r="T427" s="53">
        <v>46156</v>
      </c>
      <c r="U427" s="53">
        <v>46156</v>
      </c>
      <c r="V427" s="51" t="s">
        <v>1800</v>
      </c>
      <c r="W427" s="51" t="s">
        <v>40</v>
      </c>
      <c r="X427" s="51" t="s">
        <v>37</v>
      </c>
    </row>
    <row r="428" spans="1:24" hidden="1" x14ac:dyDescent="0.3">
      <c r="A428" s="51">
        <v>427</v>
      </c>
      <c r="B428" s="51" t="s">
        <v>1801</v>
      </c>
      <c r="C428" s="51" t="s">
        <v>1802</v>
      </c>
      <c r="D428" s="51" t="s">
        <v>119</v>
      </c>
      <c r="E428" s="51" t="s">
        <v>1652</v>
      </c>
      <c r="F428" s="51" t="s">
        <v>121</v>
      </c>
      <c r="G428" s="51" t="s">
        <v>1608</v>
      </c>
      <c r="H428" s="51"/>
      <c r="I428" s="51" t="s">
        <v>1803</v>
      </c>
      <c r="J428" s="51" t="s">
        <v>819</v>
      </c>
      <c r="K428" s="51" t="s">
        <v>1669</v>
      </c>
      <c r="L428" s="51"/>
      <c r="M428" s="51"/>
      <c r="N428" s="51" t="s">
        <v>819</v>
      </c>
      <c r="O428" s="51">
        <v>130.27000000000001</v>
      </c>
      <c r="P428" s="51">
        <v>130.27000000000001</v>
      </c>
      <c r="Q428" s="53">
        <v>46156</v>
      </c>
      <c r="R428" s="51" t="s">
        <v>1804</v>
      </c>
      <c r="S428" s="51" t="s">
        <v>353</v>
      </c>
      <c r="T428" s="53">
        <v>46156</v>
      </c>
      <c r="U428" s="53">
        <v>46156</v>
      </c>
      <c r="V428" s="51" t="s">
        <v>1805</v>
      </c>
      <c r="W428" s="51" t="s">
        <v>40</v>
      </c>
      <c r="X428" s="51" t="s">
        <v>37</v>
      </c>
    </row>
    <row r="429" spans="1:24" hidden="1" x14ac:dyDescent="0.3">
      <c r="A429" s="51">
        <v>428</v>
      </c>
      <c r="B429" s="51" t="s">
        <v>1806</v>
      </c>
      <c r="C429" s="51" t="s">
        <v>1807</v>
      </c>
      <c r="D429" s="51" t="s">
        <v>119</v>
      </c>
      <c r="E429" s="51" t="s">
        <v>1652</v>
      </c>
      <c r="F429" s="51" t="s">
        <v>121</v>
      </c>
      <c r="G429" s="51" t="s">
        <v>1608</v>
      </c>
      <c r="H429" s="51"/>
      <c r="I429" s="51" t="s">
        <v>1808</v>
      </c>
      <c r="J429" s="51" t="s">
        <v>819</v>
      </c>
      <c r="K429" s="51" t="s">
        <v>1809</v>
      </c>
      <c r="L429" s="51"/>
      <c r="M429" s="51"/>
      <c r="N429" s="51" t="s">
        <v>819</v>
      </c>
      <c r="O429" s="51">
        <v>105.8</v>
      </c>
      <c r="P429" s="51">
        <v>105.8</v>
      </c>
      <c r="Q429" s="53">
        <v>46156</v>
      </c>
      <c r="R429" s="51" t="s">
        <v>1810</v>
      </c>
      <c r="S429" s="51" t="s">
        <v>353</v>
      </c>
      <c r="T429" s="53">
        <v>46156</v>
      </c>
      <c r="U429" s="53">
        <v>46156</v>
      </c>
      <c r="V429" s="51" t="s">
        <v>1811</v>
      </c>
      <c r="W429" s="51" t="s">
        <v>40</v>
      </c>
      <c r="X429" s="51" t="s">
        <v>37</v>
      </c>
    </row>
    <row r="430" spans="1:24" hidden="1" x14ac:dyDescent="0.3">
      <c r="A430" s="51">
        <v>429</v>
      </c>
      <c r="B430" s="51" t="s">
        <v>1812</v>
      </c>
      <c r="C430" s="51" t="s">
        <v>1813</v>
      </c>
      <c r="D430" s="51" t="s">
        <v>119</v>
      </c>
      <c r="E430" s="51" t="s">
        <v>873</v>
      </c>
      <c r="F430" s="51" t="s">
        <v>121</v>
      </c>
      <c r="G430" s="51" t="s">
        <v>994</v>
      </c>
      <c r="H430" s="51"/>
      <c r="I430" s="51" t="s">
        <v>1814</v>
      </c>
      <c r="J430" s="51" t="s">
        <v>819</v>
      </c>
      <c r="K430" s="51" t="s">
        <v>1815</v>
      </c>
      <c r="L430" s="51"/>
      <c r="M430" s="51"/>
      <c r="N430" s="51" t="s">
        <v>819</v>
      </c>
      <c r="O430" s="51">
        <v>5</v>
      </c>
      <c r="P430" s="51">
        <v>5</v>
      </c>
      <c r="Q430" s="53">
        <v>46156</v>
      </c>
      <c r="R430" s="51" t="s">
        <v>1816</v>
      </c>
      <c r="S430" s="51" t="s">
        <v>38</v>
      </c>
      <c r="T430" s="53">
        <v>46156</v>
      </c>
      <c r="U430" s="53">
        <v>46156</v>
      </c>
      <c r="V430" s="51" t="s">
        <v>1817</v>
      </c>
      <c r="W430" s="51" t="s">
        <v>40</v>
      </c>
      <c r="X430" s="51" t="s">
        <v>37</v>
      </c>
    </row>
    <row r="431" spans="1:24" hidden="1" x14ac:dyDescent="0.3">
      <c r="A431">
        <v>430</v>
      </c>
      <c r="B431" t="s">
        <v>1818</v>
      </c>
      <c r="C431" t="s">
        <v>1819</v>
      </c>
      <c r="D431" t="s">
        <v>119</v>
      </c>
      <c r="E431" t="s">
        <v>873</v>
      </c>
      <c r="F431" t="s">
        <v>121</v>
      </c>
      <c r="G431" t="s">
        <v>1820</v>
      </c>
      <c r="I431" t="s">
        <v>1821</v>
      </c>
      <c r="J431" t="s">
        <v>127</v>
      </c>
      <c r="K431" t="s">
        <v>1822</v>
      </c>
      <c r="N431" t="s">
        <v>127</v>
      </c>
      <c r="O431">
        <v>0.38</v>
      </c>
      <c r="P431">
        <v>0.38</v>
      </c>
      <c r="Q431" s="52">
        <v>46157</v>
      </c>
      <c r="R431" t="s">
        <v>1823</v>
      </c>
      <c r="S431" t="s">
        <v>38</v>
      </c>
      <c r="T431" s="52">
        <v>46157</v>
      </c>
      <c r="U431" s="52">
        <v>46157</v>
      </c>
      <c r="V431" t="s">
        <v>1824</v>
      </c>
      <c r="W431" t="s">
        <v>40</v>
      </c>
      <c r="X431" t="s">
        <v>37</v>
      </c>
    </row>
    <row r="432" spans="1:24" hidden="1" x14ac:dyDescent="0.3">
      <c r="A432">
        <v>431</v>
      </c>
      <c r="B432" t="s">
        <v>1825</v>
      </c>
      <c r="C432" t="s">
        <v>1826</v>
      </c>
      <c r="D432" t="s">
        <v>119</v>
      </c>
      <c r="E432" t="s">
        <v>873</v>
      </c>
      <c r="F432" t="s">
        <v>140</v>
      </c>
      <c r="G432" t="s">
        <v>1827</v>
      </c>
      <c r="H432" t="s">
        <v>1828</v>
      </c>
      <c r="I432" t="s">
        <v>1829</v>
      </c>
      <c r="J432" t="s">
        <v>987</v>
      </c>
      <c r="K432" t="s">
        <v>1830</v>
      </c>
      <c r="N432" t="s">
        <v>127</v>
      </c>
      <c r="O432">
        <v>3.73</v>
      </c>
      <c r="P432">
        <v>3.73</v>
      </c>
      <c r="Q432" s="52">
        <v>46157</v>
      </c>
      <c r="R432" t="s">
        <v>1831</v>
      </c>
      <c r="S432" t="s">
        <v>38</v>
      </c>
      <c r="T432" s="52">
        <v>46157</v>
      </c>
      <c r="U432" s="52">
        <v>46157</v>
      </c>
      <c r="V432" t="s">
        <v>1832</v>
      </c>
      <c r="W432" t="s">
        <v>40</v>
      </c>
      <c r="X432" t="s">
        <v>37</v>
      </c>
    </row>
    <row r="433" spans="1:24" hidden="1" x14ac:dyDescent="0.3">
      <c r="A433">
        <v>432</v>
      </c>
      <c r="B433" t="s">
        <v>1833</v>
      </c>
      <c r="C433" t="s">
        <v>1834</v>
      </c>
      <c r="D433" t="s">
        <v>119</v>
      </c>
      <c r="E433" t="s">
        <v>873</v>
      </c>
      <c r="F433" t="s">
        <v>392</v>
      </c>
      <c r="G433" t="s">
        <v>1827</v>
      </c>
      <c r="H433" t="s">
        <v>1828</v>
      </c>
      <c r="I433" t="s">
        <v>1835</v>
      </c>
      <c r="J433" t="s">
        <v>1836</v>
      </c>
      <c r="K433" t="s">
        <v>1837</v>
      </c>
      <c r="L433" t="s">
        <v>821</v>
      </c>
      <c r="N433" t="s">
        <v>127</v>
      </c>
      <c r="O433">
        <v>4.8</v>
      </c>
      <c r="P433">
        <v>4.8</v>
      </c>
      <c r="Q433" s="52">
        <v>46157</v>
      </c>
      <c r="R433" t="s">
        <v>1838</v>
      </c>
      <c r="S433" t="s">
        <v>38</v>
      </c>
      <c r="T433" s="52">
        <v>46157</v>
      </c>
      <c r="U433" s="52">
        <v>46157</v>
      </c>
      <c r="V433" t="s">
        <v>1839</v>
      </c>
      <c r="W433" t="s">
        <v>40</v>
      </c>
      <c r="X433" t="s">
        <v>37</v>
      </c>
    </row>
    <row r="434" spans="1:24" hidden="1" x14ac:dyDescent="0.3">
      <c r="A434" s="2">
        <v>433</v>
      </c>
      <c r="B434" s="2" t="s">
        <v>1920</v>
      </c>
      <c r="C434" s="50" t="s">
        <v>1921</v>
      </c>
      <c r="D434" s="2" t="s">
        <v>88</v>
      </c>
      <c r="E434" s="2" t="s">
        <v>1922</v>
      </c>
      <c r="F434" s="2" t="s">
        <v>1923</v>
      </c>
      <c r="G434" s="2" t="s">
        <v>1923</v>
      </c>
      <c r="H434" s="3"/>
      <c r="J434" s="2" t="s">
        <v>1924</v>
      </c>
      <c r="N434" s="2" t="s">
        <v>1924</v>
      </c>
      <c r="O434" s="3">
        <v>1</v>
      </c>
      <c r="P434" s="3">
        <v>1</v>
      </c>
      <c r="Q434" s="47"/>
      <c r="R434" s="3" t="s">
        <v>1925</v>
      </c>
      <c r="S434" s="3" t="s">
        <v>38</v>
      </c>
      <c r="T434" s="47"/>
      <c r="U434" s="47"/>
      <c r="V434" s="3" t="s">
        <v>1926</v>
      </c>
      <c r="W434" s="3" t="s">
        <v>40</v>
      </c>
      <c r="X434" s="2" t="s">
        <v>37</v>
      </c>
    </row>
  </sheetData>
  <mergeCells count="5">
    <mergeCell ref="H1:M1"/>
    <mergeCell ref="A1:C1"/>
    <mergeCell ref="T1:X1"/>
    <mergeCell ref="D1:G1"/>
    <mergeCell ref="N1:S1"/>
  </mergeCells>
  <dataValidations count="6">
    <dataValidation type="list" allowBlank="1" sqref="D3:D255" xr:uid="{00000000-0002-0000-0000-000000000000}">
      <formula1>"Material,Mano de Obra,Equipo,Transporte"</formula1>
    </dataValidation>
    <dataValidation type="list" allowBlank="1" sqref="E3:E255" xr:uid="{00000000-0002-0000-0000-000001000000}">
      <formula1>"Civil,Electrico,Hidrosanitario,Acabados,General,Albañilería,Est Metalica,Piezas Sanitarias,Piezas Electricas,Boonker,Carpinteria de Madera,Carpinteria Metalica,Aluminio y Vidrio,Revestimientos,Pintura"</formula1>
    </dataValidation>
    <dataValidation type="list" allowBlank="1" sqref="F3:F255" xr:uid="{00000000-0002-0000-0000-000002000000}">
      <formula1>"Principal,Accesorio,Consumible,Equipo,Personal,General"</formula1>
    </dataValidation>
    <dataValidation type="list" allowBlank="1" sqref="S3:S255" xr:uid="{00000000-0002-0000-0000-000003000000}">
      <formula1>"Incluye,No Incluye,No Define"</formula1>
    </dataValidation>
    <dataValidation type="list" allowBlank="1" sqref="W3:W255" xr:uid="{00000000-0002-0000-0000-000004000000}">
      <formula1>"Si,No"</formula1>
    </dataValidation>
    <dataValidation type="list" allowBlank="1" sqref="X3:X255" xr:uid="{00000000-0002-0000-0000-000005000000}">
      <formula1>"Borrador,Referencial,Validado,Bloqueado"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6"/>
  <sheetViews>
    <sheetView workbookViewId="0">
      <selection activeCell="D15" sqref="D15"/>
    </sheetView>
  </sheetViews>
  <sheetFormatPr baseColWidth="10" defaultRowHeight="14.4" x14ac:dyDescent="0.3"/>
  <sheetData>
    <row r="1" spans="1:7" x14ac:dyDescent="0.3">
      <c r="A1" t="s">
        <v>8</v>
      </c>
      <c r="C1" t="s">
        <v>9</v>
      </c>
      <c r="E1" t="s">
        <v>10</v>
      </c>
      <c r="G1" t="s">
        <v>11</v>
      </c>
    </row>
    <row r="2" spans="1:7" x14ac:dyDescent="0.3">
      <c r="A2" t="s">
        <v>119</v>
      </c>
      <c r="C2" t="s">
        <v>873</v>
      </c>
      <c r="E2" t="s">
        <v>121</v>
      </c>
      <c r="G2" t="s">
        <v>388</v>
      </c>
    </row>
    <row r="3" spans="1:7" x14ac:dyDescent="0.3">
      <c r="A3" t="s">
        <v>31</v>
      </c>
      <c r="C3" t="s">
        <v>470</v>
      </c>
      <c r="E3" t="s">
        <v>140</v>
      </c>
      <c r="G3" t="s">
        <v>1840</v>
      </c>
    </row>
    <row r="4" spans="1:7" x14ac:dyDescent="0.3">
      <c r="A4" t="s">
        <v>88</v>
      </c>
      <c r="C4" t="s">
        <v>120</v>
      </c>
      <c r="E4" t="s">
        <v>392</v>
      </c>
      <c r="G4" t="s">
        <v>187</v>
      </c>
    </row>
    <row r="5" spans="1:7" x14ac:dyDescent="0.3">
      <c r="A5" t="s">
        <v>916</v>
      </c>
      <c r="C5" t="s">
        <v>1841</v>
      </c>
      <c r="E5" t="s">
        <v>88</v>
      </c>
      <c r="G5" t="s">
        <v>407</v>
      </c>
    </row>
    <row r="6" spans="1:7" x14ac:dyDescent="0.3">
      <c r="C6" t="s">
        <v>32</v>
      </c>
      <c r="E6" t="s">
        <v>33</v>
      </c>
      <c r="G6" t="s">
        <v>1842</v>
      </c>
    </row>
    <row r="7" spans="1:7" x14ac:dyDescent="0.3">
      <c r="C7" t="s">
        <v>1843</v>
      </c>
      <c r="E7" t="s">
        <v>32</v>
      </c>
      <c r="G7" t="s">
        <v>1844</v>
      </c>
    </row>
    <row r="8" spans="1:7" x14ac:dyDescent="0.3">
      <c r="C8" t="s">
        <v>1845</v>
      </c>
      <c r="G8" t="s">
        <v>56</v>
      </c>
    </row>
    <row r="9" spans="1:7" x14ac:dyDescent="0.3">
      <c r="C9" t="s">
        <v>720</v>
      </c>
      <c r="G9" t="s">
        <v>1575</v>
      </c>
    </row>
    <row r="10" spans="1:7" x14ac:dyDescent="0.3">
      <c r="C10" t="s">
        <v>1846</v>
      </c>
      <c r="G10" t="s">
        <v>1847</v>
      </c>
    </row>
    <row r="11" spans="1:7" x14ac:dyDescent="0.3">
      <c r="C11" t="s">
        <v>1029</v>
      </c>
      <c r="G11" t="s">
        <v>553</v>
      </c>
    </row>
    <row r="12" spans="1:7" x14ac:dyDescent="0.3">
      <c r="C12" t="s">
        <v>1607</v>
      </c>
      <c r="G12" t="s">
        <v>80</v>
      </c>
    </row>
    <row r="13" spans="1:7" x14ac:dyDescent="0.3">
      <c r="C13" t="s">
        <v>1641</v>
      </c>
      <c r="G13" t="s">
        <v>513</v>
      </c>
    </row>
    <row r="14" spans="1:7" x14ac:dyDescent="0.3">
      <c r="C14" t="s">
        <v>1652</v>
      </c>
      <c r="G14" t="s">
        <v>1848</v>
      </c>
    </row>
    <row r="15" spans="1:7" x14ac:dyDescent="0.3">
      <c r="C15" t="s">
        <v>815</v>
      </c>
      <c r="G15" t="s">
        <v>44</v>
      </c>
    </row>
    <row r="16" spans="1:7" x14ac:dyDescent="0.3">
      <c r="C16" t="s">
        <v>1062</v>
      </c>
      <c r="G16" t="s">
        <v>985</v>
      </c>
    </row>
    <row r="17" spans="7:7" x14ac:dyDescent="0.3">
      <c r="G17" t="s">
        <v>1849</v>
      </c>
    </row>
    <row r="18" spans="7:7" x14ac:dyDescent="0.3">
      <c r="G18" t="s">
        <v>1850</v>
      </c>
    </row>
    <row r="19" spans="7:7" x14ac:dyDescent="0.3">
      <c r="G19" t="s">
        <v>1851</v>
      </c>
    </row>
    <row r="20" spans="7:7" x14ac:dyDescent="0.3">
      <c r="G20" t="s">
        <v>1852</v>
      </c>
    </row>
    <row r="21" spans="7:7" x14ac:dyDescent="0.3">
      <c r="G21" t="s">
        <v>141</v>
      </c>
    </row>
    <row r="22" spans="7:7" x14ac:dyDescent="0.3">
      <c r="G22" t="s">
        <v>95</v>
      </c>
    </row>
    <row r="23" spans="7:7" x14ac:dyDescent="0.3">
      <c r="G23" t="s">
        <v>1853</v>
      </c>
    </row>
    <row r="24" spans="7:7" x14ac:dyDescent="0.3">
      <c r="G24" t="s">
        <v>1854</v>
      </c>
    </row>
    <row r="25" spans="7:7" x14ac:dyDescent="0.3">
      <c r="G25" t="s">
        <v>1855</v>
      </c>
    </row>
    <row r="26" spans="7:7" x14ac:dyDescent="0.3">
      <c r="G26" t="s">
        <v>678</v>
      </c>
    </row>
    <row r="27" spans="7:7" x14ac:dyDescent="0.3">
      <c r="G27" t="s">
        <v>768</v>
      </c>
    </row>
    <row r="28" spans="7:7" x14ac:dyDescent="0.3">
      <c r="G28" t="s">
        <v>60</v>
      </c>
    </row>
    <row r="29" spans="7:7" x14ac:dyDescent="0.3">
      <c r="G29" t="s">
        <v>1856</v>
      </c>
    </row>
    <row r="30" spans="7:7" x14ac:dyDescent="0.3">
      <c r="G30" t="s">
        <v>1111</v>
      </c>
    </row>
    <row r="31" spans="7:7" x14ac:dyDescent="0.3">
      <c r="G31" t="s">
        <v>116</v>
      </c>
    </row>
    <row r="32" spans="7:7" x14ac:dyDescent="0.3">
      <c r="G32" t="s">
        <v>102</v>
      </c>
    </row>
    <row r="33" spans="7:7" x14ac:dyDescent="0.3">
      <c r="G33" t="s">
        <v>64</v>
      </c>
    </row>
    <row r="34" spans="7:7" x14ac:dyDescent="0.3">
      <c r="G34" t="s">
        <v>791</v>
      </c>
    </row>
    <row r="35" spans="7:7" x14ac:dyDescent="0.3">
      <c r="G35" t="s">
        <v>832</v>
      </c>
    </row>
    <row r="36" spans="7:7" x14ac:dyDescent="0.3">
      <c r="G36" t="s">
        <v>1857</v>
      </c>
    </row>
    <row r="37" spans="7:7" x14ac:dyDescent="0.3">
      <c r="G37" t="s">
        <v>1858</v>
      </c>
    </row>
    <row r="38" spans="7:7" x14ac:dyDescent="0.3">
      <c r="G38" t="s">
        <v>1106</v>
      </c>
    </row>
    <row r="39" spans="7:7" x14ac:dyDescent="0.3">
      <c r="G39" t="s">
        <v>1859</v>
      </c>
    </row>
    <row r="40" spans="7:7" x14ac:dyDescent="0.3">
      <c r="G40" t="s">
        <v>721</v>
      </c>
    </row>
    <row r="41" spans="7:7" x14ac:dyDescent="0.3">
      <c r="G41" t="s">
        <v>661</v>
      </c>
    </row>
    <row r="42" spans="7:7" x14ac:dyDescent="0.3">
      <c r="G42" t="s">
        <v>745</v>
      </c>
    </row>
    <row r="43" spans="7:7" x14ac:dyDescent="0.3">
      <c r="G43" t="s">
        <v>1860</v>
      </c>
    </row>
    <row r="44" spans="7:7" x14ac:dyDescent="0.3">
      <c r="G44" t="s">
        <v>72</v>
      </c>
    </row>
    <row r="45" spans="7:7" x14ac:dyDescent="0.3">
      <c r="G45" t="s">
        <v>1044</v>
      </c>
    </row>
    <row r="46" spans="7:7" x14ac:dyDescent="0.3">
      <c r="G46" t="s">
        <v>1861</v>
      </c>
    </row>
    <row r="47" spans="7:7" x14ac:dyDescent="0.3">
      <c r="G47" t="s">
        <v>1862</v>
      </c>
    </row>
    <row r="48" spans="7:7" x14ac:dyDescent="0.3">
      <c r="G48" t="s">
        <v>1863</v>
      </c>
    </row>
    <row r="49" spans="7:7" x14ac:dyDescent="0.3">
      <c r="G49" t="s">
        <v>104</v>
      </c>
    </row>
    <row r="50" spans="7:7" x14ac:dyDescent="0.3">
      <c r="G50" t="s">
        <v>1827</v>
      </c>
    </row>
    <row r="51" spans="7:7" x14ac:dyDescent="0.3">
      <c r="G51" t="s">
        <v>110</v>
      </c>
    </row>
    <row r="52" spans="7:7" x14ac:dyDescent="0.3">
      <c r="G52" t="s">
        <v>76</v>
      </c>
    </row>
    <row r="53" spans="7:7" x14ac:dyDescent="0.3">
      <c r="G53" t="s">
        <v>1864</v>
      </c>
    </row>
    <row r="54" spans="7:7" x14ac:dyDescent="0.3">
      <c r="G54" t="s">
        <v>34</v>
      </c>
    </row>
    <row r="55" spans="7:7" x14ac:dyDescent="0.3">
      <c r="G55" t="s">
        <v>52</v>
      </c>
    </row>
    <row r="56" spans="7:7" x14ac:dyDescent="0.3">
      <c r="G56" t="s">
        <v>1062</v>
      </c>
    </row>
    <row r="57" spans="7:7" x14ac:dyDescent="0.3">
      <c r="G57" t="s">
        <v>49</v>
      </c>
    </row>
    <row r="58" spans="7:7" x14ac:dyDescent="0.3">
      <c r="G58" t="s">
        <v>816</v>
      </c>
    </row>
    <row r="59" spans="7:7" x14ac:dyDescent="0.3">
      <c r="G59" t="s">
        <v>1608</v>
      </c>
    </row>
    <row r="60" spans="7:7" x14ac:dyDescent="0.3">
      <c r="G60" t="s">
        <v>710</v>
      </c>
    </row>
    <row r="61" spans="7:7" x14ac:dyDescent="0.3">
      <c r="G61" t="s">
        <v>1865</v>
      </c>
    </row>
    <row r="62" spans="7:7" x14ac:dyDescent="0.3">
      <c r="G62" t="s">
        <v>174</v>
      </c>
    </row>
    <row r="63" spans="7:7" x14ac:dyDescent="0.3">
      <c r="G63" t="s">
        <v>84</v>
      </c>
    </row>
    <row r="64" spans="7:7" x14ac:dyDescent="0.3">
      <c r="G64" t="s">
        <v>105</v>
      </c>
    </row>
    <row r="65" spans="7:7" x14ac:dyDescent="0.3">
      <c r="G65" t="s">
        <v>1866</v>
      </c>
    </row>
    <row r="66" spans="7:7" x14ac:dyDescent="0.3">
      <c r="G66" t="s">
        <v>87</v>
      </c>
    </row>
    <row r="67" spans="7:7" x14ac:dyDescent="0.3">
      <c r="G67" t="s">
        <v>92</v>
      </c>
    </row>
    <row r="68" spans="7:7" x14ac:dyDescent="0.3">
      <c r="G68" t="s">
        <v>1116</v>
      </c>
    </row>
    <row r="69" spans="7:7" x14ac:dyDescent="0.3">
      <c r="G69" t="s">
        <v>1867</v>
      </c>
    </row>
    <row r="70" spans="7:7" x14ac:dyDescent="0.3">
      <c r="G70" t="s">
        <v>1868</v>
      </c>
    </row>
    <row r="71" spans="7:7" x14ac:dyDescent="0.3">
      <c r="G71" t="s">
        <v>1869</v>
      </c>
    </row>
    <row r="72" spans="7:7" x14ac:dyDescent="0.3">
      <c r="G72" t="s">
        <v>108</v>
      </c>
    </row>
    <row r="73" spans="7:7" x14ac:dyDescent="0.3">
      <c r="G73" t="s">
        <v>1870</v>
      </c>
    </row>
    <row r="74" spans="7:7" x14ac:dyDescent="0.3">
      <c r="G74" t="s">
        <v>153</v>
      </c>
    </row>
    <row r="75" spans="7:7" x14ac:dyDescent="0.3">
      <c r="G75" t="s">
        <v>1871</v>
      </c>
    </row>
    <row r="76" spans="7:7" x14ac:dyDescent="0.3">
      <c r="G76" t="s">
        <v>629</v>
      </c>
    </row>
    <row r="77" spans="7:7" x14ac:dyDescent="0.3">
      <c r="G77" t="s">
        <v>67</v>
      </c>
    </row>
    <row r="78" spans="7:7" x14ac:dyDescent="0.3">
      <c r="G78" t="s">
        <v>1872</v>
      </c>
    </row>
    <row r="79" spans="7:7" x14ac:dyDescent="0.3">
      <c r="G79" t="s">
        <v>1873</v>
      </c>
    </row>
    <row r="80" spans="7:7" x14ac:dyDescent="0.3">
      <c r="G80" t="s">
        <v>1874</v>
      </c>
    </row>
    <row r="81" spans="7:7" x14ac:dyDescent="0.3">
      <c r="G81" t="s">
        <v>1875</v>
      </c>
    </row>
    <row r="82" spans="7:7" x14ac:dyDescent="0.3">
      <c r="G82" t="s">
        <v>706</v>
      </c>
    </row>
    <row r="83" spans="7:7" x14ac:dyDescent="0.3">
      <c r="G83" t="s">
        <v>1876</v>
      </c>
    </row>
    <row r="84" spans="7:7" x14ac:dyDescent="0.3">
      <c r="G84" t="s">
        <v>99</v>
      </c>
    </row>
    <row r="85" spans="7:7" x14ac:dyDescent="0.3">
      <c r="G85" t="s">
        <v>113</v>
      </c>
    </row>
    <row r="86" spans="7:7" x14ac:dyDescent="0.3">
      <c r="G86" t="s">
        <v>1877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2:I12"/>
  <sheetViews>
    <sheetView workbookViewId="0">
      <selection activeCell="J12" sqref="J12"/>
    </sheetView>
  </sheetViews>
  <sheetFormatPr baseColWidth="10" defaultRowHeight="14.4" x14ac:dyDescent="0.3"/>
  <sheetData>
    <row r="12" spans="7:9" x14ac:dyDescent="0.3">
      <c r="G12">
        <v>6.69</v>
      </c>
      <c r="H12" t="s">
        <v>909</v>
      </c>
      <c r="I12" t="s">
        <v>1878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A1:P42"/>
  <sheetViews>
    <sheetView zoomScale="87" workbookViewId="0">
      <selection activeCell="G21" sqref="G21"/>
    </sheetView>
  </sheetViews>
  <sheetFormatPr baseColWidth="10" defaultColWidth="11.44140625" defaultRowHeight="14.4" x14ac:dyDescent="0.3"/>
  <cols>
    <col min="1" max="1" width="20" style="4" bestFit="1" customWidth="1"/>
    <col min="2" max="12" width="13.6640625" style="5" customWidth="1"/>
    <col min="13" max="57" width="11.44140625" style="4" customWidth="1"/>
    <col min="58" max="16384" width="11.44140625" style="4"/>
  </cols>
  <sheetData>
    <row r="1" spans="1:16" ht="14.1" customHeight="1" x14ac:dyDescent="0.3"/>
    <row r="2" spans="1:16" ht="14.1" customHeight="1" x14ac:dyDescent="0.3">
      <c r="A2" s="38" t="s">
        <v>1879</v>
      </c>
      <c r="B2" s="40">
        <v>8</v>
      </c>
      <c r="D2" s="38" t="s">
        <v>1880</v>
      </c>
      <c r="E2" s="42">
        <v>482</v>
      </c>
      <c r="G2" s="38" t="s">
        <v>1881</v>
      </c>
      <c r="H2" s="40">
        <v>2026</v>
      </c>
      <c r="J2" s="38" t="s">
        <v>1882</v>
      </c>
      <c r="K2" s="41">
        <f>ROUND((IF((H2/4)-INT(H2/4)&gt;0,"365","366"))/((IF((H2/4)-INT(H2/4)&gt;0,"365","366"))-H4),2)</f>
        <v>1.46</v>
      </c>
    </row>
    <row r="3" spans="1:16" ht="14.1" customHeight="1" x14ac:dyDescent="0.3">
      <c r="B3" s="37"/>
      <c r="E3" s="37"/>
      <c r="H3" s="37"/>
      <c r="K3" s="37"/>
    </row>
    <row r="4" spans="1:16" ht="14.1" customHeight="1" x14ac:dyDescent="0.3">
      <c r="A4" s="38" t="s">
        <v>1883</v>
      </c>
      <c r="B4" s="40">
        <v>11</v>
      </c>
      <c r="D4" s="38" t="s">
        <v>1884</v>
      </c>
      <c r="E4" s="40">
        <v>104</v>
      </c>
      <c r="G4" s="38" t="s">
        <v>1885</v>
      </c>
      <c r="H4" s="39">
        <f>+E4+B4</f>
        <v>115</v>
      </c>
      <c r="J4" s="38" t="s">
        <v>1886</v>
      </c>
      <c r="K4" s="37">
        <f>+IF((H2/4)-INT(H2/4)&gt;0,"365","366")-H4</f>
        <v>250</v>
      </c>
    </row>
    <row r="5" spans="1:16" ht="14.1" customHeight="1" thickBot="1" x14ac:dyDescent="0.35"/>
    <row r="6" spans="1:16" ht="27.6" customHeight="1" thickBot="1" x14ac:dyDescent="0.35">
      <c r="A6" s="56" t="s">
        <v>1887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8"/>
    </row>
    <row r="7" spans="1:16" ht="14.1" customHeight="1" thickBot="1" x14ac:dyDescent="0.35">
      <c r="A7" s="59" t="s">
        <v>1888</v>
      </c>
      <c r="B7" s="35" t="s">
        <v>1889</v>
      </c>
      <c r="C7" s="36" t="s">
        <v>1890</v>
      </c>
      <c r="D7" s="35" t="s">
        <v>1890</v>
      </c>
      <c r="E7" s="36" t="s">
        <v>1890</v>
      </c>
      <c r="F7" s="35" t="s">
        <v>1890</v>
      </c>
      <c r="G7" s="36" t="s">
        <v>1891</v>
      </c>
      <c r="H7" s="35" t="s">
        <v>1891</v>
      </c>
      <c r="I7" s="36" t="s">
        <v>1891</v>
      </c>
      <c r="J7" s="35" t="s">
        <v>1891</v>
      </c>
      <c r="K7" s="35" t="s">
        <v>1892</v>
      </c>
      <c r="L7" s="35" t="s">
        <v>1893</v>
      </c>
      <c r="M7" s="35"/>
      <c r="N7" s="35"/>
      <c r="O7" s="35"/>
      <c r="P7" s="35"/>
    </row>
    <row r="8" spans="1:16" ht="14.1" customHeight="1" thickBot="1" x14ac:dyDescent="0.35">
      <c r="A8" s="60"/>
      <c r="B8" s="33"/>
      <c r="C8" s="34" t="s">
        <v>1894</v>
      </c>
      <c r="D8" s="33" t="s">
        <v>1895</v>
      </c>
      <c r="E8" s="34" t="s">
        <v>1896</v>
      </c>
      <c r="F8" s="33" t="s">
        <v>1897</v>
      </c>
      <c r="G8" s="34" t="s">
        <v>1894</v>
      </c>
      <c r="H8" s="33" t="s">
        <v>1895</v>
      </c>
      <c r="I8" s="34" t="s">
        <v>1896</v>
      </c>
      <c r="J8" s="33" t="s">
        <v>1897</v>
      </c>
      <c r="K8" s="33"/>
      <c r="L8" s="33"/>
      <c r="M8" s="33"/>
      <c r="N8" s="33"/>
      <c r="O8" s="33"/>
      <c r="P8" s="33"/>
    </row>
    <row r="9" spans="1:16" ht="14.1" customHeight="1" x14ac:dyDescent="0.3">
      <c r="A9" s="60"/>
      <c r="B9" s="32" t="s">
        <v>1547</v>
      </c>
      <c r="C9" s="31" t="s">
        <v>44</v>
      </c>
      <c r="D9" s="31" t="s">
        <v>1898</v>
      </c>
      <c r="E9" s="31" t="s">
        <v>60</v>
      </c>
      <c r="F9" s="31" t="s">
        <v>80</v>
      </c>
      <c r="G9" s="31" t="s">
        <v>1899</v>
      </c>
      <c r="H9" s="31" t="s">
        <v>1900</v>
      </c>
      <c r="I9" s="31" t="s">
        <v>72</v>
      </c>
      <c r="J9" s="31" t="s">
        <v>1901</v>
      </c>
      <c r="K9" s="31" t="s">
        <v>84</v>
      </c>
      <c r="L9" s="30" t="s">
        <v>1902</v>
      </c>
      <c r="M9" s="30"/>
      <c r="N9" s="30"/>
      <c r="O9" s="30"/>
      <c r="P9" s="30"/>
    </row>
    <row r="10" spans="1:16" ht="14.1" customHeight="1" x14ac:dyDescent="0.3">
      <c r="A10" s="60"/>
      <c r="B10" s="28"/>
      <c r="C10" s="27" t="s">
        <v>49</v>
      </c>
      <c r="D10" s="27"/>
      <c r="E10" s="27" t="s">
        <v>64</v>
      </c>
      <c r="F10" s="27"/>
      <c r="G10" s="27"/>
      <c r="H10" s="27" t="s">
        <v>1903</v>
      </c>
      <c r="I10" s="27"/>
      <c r="J10" s="29" t="s">
        <v>1904</v>
      </c>
      <c r="K10" s="27"/>
      <c r="L10" s="26" t="s">
        <v>1905</v>
      </c>
      <c r="M10" s="26"/>
      <c r="N10" s="26"/>
      <c r="O10" s="26"/>
      <c r="P10" s="26"/>
    </row>
    <row r="11" spans="1:16" ht="14.1" customHeight="1" x14ac:dyDescent="0.3">
      <c r="A11" s="60"/>
      <c r="B11" s="28"/>
      <c r="C11" s="27" t="s">
        <v>52</v>
      </c>
      <c r="D11" s="27"/>
      <c r="E11" s="27"/>
      <c r="F11" s="27"/>
      <c r="G11" s="27"/>
      <c r="H11" s="27"/>
      <c r="I11" s="27"/>
      <c r="J11" s="29" t="s">
        <v>1906</v>
      </c>
      <c r="K11" s="27"/>
      <c r="L11" s="26"/>
      <c r="M11" s="26"/>
      <c r="N11" s="26"/>
      <c r="O11" s="26"/>
      <c r="P11" s="26"/>
    </row>
    <row r="12" spans="1:16" ht="14.1" customHeight="1" x14ac:dyDescent="0.3">
      <c r="A12" s="60"/>
      <c r="B12" s="28"/>
      <c r="C12" s="27"/>
      <c r="D12" s="27"/>
      <c r="E12" s="27"/>
      <c r="F12" s="27"/>
      <c r="G12" s="27"/>
      <c r="H12" s="27"/>
      <c r="I12" s="27"/>
      <c r="J12" s="29" t="s">
        <v>1907</v>
      </c>
      <c r="K12" s="27"/>
      <c r="L12" s="26"/>
      <c r="M12" s="26"/>
      <c r="N12" s="26"/>
      <c r="O12" s="26"/>
      <c r="P12" s="26"/>
    </row>
    <row r="13" spans="1:16" ht="14.1" customHeight="1" x14ac:dyDescent="0.3">
      <c r="A13" s="60"/>
      <c r="B13" s="28"/>
      <c r="C13" s="27"/>
      <c r="D13" s="27"/>
      <c r="E13" s="27"/>
      <c r="F13" s="27"/>
      <c r="G13" s="27"/>
      <c r="H13" s="27"/>
      <c r="I13" s="27"/>
      <c r="J13" s="27"/>
      <c r="K13" s="27"/>
      <c r="L13" s="26"/>
      <c r="M13" s="26"/>
      <c r="N13" s="26"/>
      <c r="O13" s="26"/>
      <c r="P13" s="26"/>
    </row>
    <row r="14" spans="1:16" ht="14.1" customHeight="1" thickBot="1" x14ac:dyDescent="0.35">
      <c r="A14" s="61"/>
      <c r="B14" s="25"/>
      <c r="C14" s="24"/>
      <c r="D14" s="24"/>
      <c r="E14" s="24"/>
      <c r="F14" s="24"/>
      <c r="G14" s="24"/>
      <c r="H14" s="24"/>
      <c r="I14" s="24"/>
      <c r="J14" s="24"/>
      <c r="K14" s="24"/>
      <c r="L14" s="23"/>
      <c r="M14" s="23"/>
      <c r="N14" s="23"/>
      <c r="O14" s="23"/>
      <c r="P14" s="23"/>
    </row>
    <row r="15" spans="1:16" ht="14.1" customHeight="1" x14ac:dyDescent="0.3">
      <c r="A15" s="17" t="s">
        <v>1908</v>
      </c>
      <c r="B15" s="22">
        <f t="shared" ref="B15:P15" si="0">B16/30</f>
        <v>16.484333333333332</v>
      </c>
      <c r="C15" s="16">
        <f t="shared" si="0"/>
        <v>16.699333333333335</v>
      </c>
      <c r="D15" s="16">
        <f t="shared" si="0"/>
        <v>16.699333333333335</v>
      </c>
      <c r="E15" s="16">
        <f t="shared" si="0"/>
        <v>16.699333333333335</v>
      </c>
      <c r="F15" s="16">
        <f t="shared" si="0"/>
        <v>16.699333333333335</v>
      </c>
      <c r="G15" s="16">
        <f t="shared" si="0"/>
        <v>18.617999999999999</v>
      </c>
      <c r="H15" s="16">
        <f t="shared" si="0"/>
        <v>18.617999999999999</v>
      </c>
      <c r="I15" s="16">
        <f t="shared" si="0"/>
        <v>18.617999999999999</v>
      </c>
      <c r="J15" s="16">
        <f t="shared" si="0"/>
        <v>18.617999999999999</v>
      </c>
      <c r="K15" s="16">
        <f t="shared" si="0"/>
        <v>18.698</v>
      </c>
      <c r="L15" s="15">
        <f t="shared" si="0"/>
        <v>18.650333333333332</v>
      </c>
      <c r="M15" s="15">
        <f t="shared" si="0"/>
        <v>0</v>
      </c>
      <c r="N15" s="15">
        <f t="shared" si="0"/>
        <v>0</v>
      </c>
      <c r="O15" s="15">
        <f t="shared" si="0"/>
        <v>0</v>
      </c>
      <c r="P15" s="15">
        <f t="shared" si="0"/>
        <v>0</v>
      </c>
    </row>
    <row r="16" spans="1:16" ht="14.1" customHeight="1" x14ac:dyDescent="0.3">
      <c r="A16" s="21" t="s">
        <v>1909</v>
      </c>
      <c r="B16" s="20">
        <v>494.53</v>
      </c>
      <c r="C16" s="20">
        <v>500.98</v>
      </c>
      <c r="D16" s="20">
        <v>500.98</v>
      </c>
      <c r="E16" s="20">
        <v>500.98</v>
      </c>
      <c r="F16" s="20">
        <v>500.98</v>
      </c>
      <c r="G16" s="20">
        <v>558.54</v>
      </c>
      <c r="H16" s="20">
        <v>558.54</v>
      </c>
      <c r="I16" s="20">
        <v>558.54</v>
      </c>
      <c r="J16" s="20">
        <v>558.54</v>
      </c>
      <c r="K16" s="20">
        <v>560.94000000000005</v>
      </c>
      <c r="L16" s="19">
        <v>559.51</v>
      </c>
      <c r="M16" s="19"/>
      <c r="N16" s="19"/>
      <c r="O16" s="19"/>
      <c r="P16" s="19"/>
    </row>
    <row r="17" spans="1:16" ht="14.1" customHeight="1" x14ac:dyDescent="0.3">
      <c r="A17" s="17" t="s">
        <v>1910</v>
      </c>
      <c r="B17" s="16">
        <f t="shared" ref="B17:P17" si="1">ROUND(B16*12,2)</f>
        <v>5934.36</v>
      </c>
      <c r="C17" s="16">
        <f t="shared" si="1"/>
        <v>6011.76</v>
      </c>
      <c r="D17" s="16">
        <f t="shared" si="1"/>
        <v>6011.76</v>
      </c>
      <c r="E17" s="16">
        <f t="shared" si="1"/>
        <v>6011.76</v>
      </c>
      <c r="F17" s="16">
        <f t="shared" si="1"/>
        <v>6011.76</v>
      </c>
      <c r="G17" s="16">
        <f t="shared" si="1"/>
        <v>6702.48</v>
      </c>
      <c r="H17" s="16">
        <f t="shared" si="1"/>
        <v>6702.48</v>
      </c>
      <c r="I17" s="16">
        <f t="shared" si="1"/>
        <v>6702.48</v>
      </c>
      <c r="J17" s="16">
        <f t="shared" si="1"/>
        <v>6702.48</v>
      </c>
      <c r="K17" s="16">
        <f t="shared" si="1"/>
        <v>6731.28</v>
      </c>
      <c r="L17" s="15">
        <f t="shared" si="1"/>
        <v>6714.12</v>
      </c>
      <c r="M17" s="15">
        <f t="shared" si="1"/>
        <v>0</v>
      </c>
      <c r="N17" s="15">
        <f t="shared" si="1"/>
        <v>0</v>
      </c>
      <c r="O17" s="15">
        <f t="shared" si="1"/>
        <v>0</v>
      </c>
      <c r="P17" s="15">
        <f t="shared" si="1"/>
        <v>0</v>
      </c>
    </row>
    <row r="18" spans="1:16" ht="14.1" customHeight="1" x14ac:dyDescent="0.3">
      <c r="A18" s="17"/>
      <c r="B18" s="18"/>
      <c r="C18" s="16"/>
      <c r="D18" s="16"/>
      <c r="E18" s="16"/>
      <c r="F18" s="16"/>
      <c r="G18" s="16"/>
      <c r="H18" s="16"/>
      <c r="I18" s="16"/>
      <c r="J18" s="16"/>
      <c r="K18" s="16"/>
      <c r="L18" s="15"/>
      <c r="M18" s="15"/>
      <c r="N18" s="15"/>
      <c r="O18" s="15"/>
      <c r="P18" s="15"/>
    </row>
    <row r="19" spans="1:16" ht="14.1" customHeight="1" x14ac:dyDescent="0.3">
      <c r="A19" s="21" t="s">
        <v>916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</row>
    <row r="20" spans="1:16" ht="14.1" customHeight="1" x14ac:dyDescent="0.3">
      <c r="A20" s="17" t="s">
        <v>1911</v>
      </c>
      <c r="B20" s="16">
        <f t="shared" ref="B20:P20" si="2">+B17/12</f>
        <v>494.53</v>
      </c>
      <c r="C20" s="16">
        <f t="shared" si="2"/>
        <v>500.98</v>
      </c>
      <c r="D20" s="16">
        <f t="shared" si="2"/>
        <v>500.98</v>
      </c>
      <c r="E20" s="16">
        <f t="shared" si="2"/>
        <v>500.98</v>
      </c>
      <c r="F20" s="16">
        <f t="shared" si="2"/>
        <v>500.98</v>
      </c>
      <c r="G20" s="16">
        <f t="shared" si="2"/>
        <v>558.54</v>
      </c>
      <c r="H20" s="16">
        <f t="shared" si="2"/>
        <v>558.54</v>
      </c>
      <c r="I20" s="16">
        <f t="shared" si="2"/>
        <v>558.54</v>
      </c>
      <c r="J20" s="16">
        <f t="shared" si="2"/>
        <v>558.54</v>
      </c>
      <c r="K20" s="16">
        <f t="shared" si="2"/>
        <v>560.93999999999994</v>
      </c>
      <c r="L20" s="15">
        <f t="shared" si="2"/>
        <v>559.51</v>
      </c>
      <c r="M20" s="15">
        <f t="shared" si="2"/>
        <v>0</v>
      </c>
      <c r="N20" s="15">
        <f t="shared" si="2"/>
        <v>0</v>
      </c>
      <c r="O20" s="15">
        <f t="shared" si="2"/>
        <v>0</v>
      </c>
      <c r="P20" s="15">
        <f t="shared" si="2"/>
        <v>0</v>
      </c>
    </row>
    <row r="21" spans="1:16" ht="14.1" customHeight="1" x14ac:dyDescent="0.3">
      <c r="A21" s="17" t="s">
        <v>1912</v>
      </c>
      <c r="B21" s="16">
        <f t="shared" ref="B21:P21" si="3">+$E$2</f>
        <v>482</v>
      </c>
      <c r="C21" s="16">
        <f t="shared" si="3"/>
        <v>482</v>
      </c>
      <c r="D21" s="16">
        <f t="shared" si="3"/>
        <v>482</v>
      </c>
      <c r="E21" s="16">
        <f t="shared" si="3"/>
        <v>482</v>
      </c>
      <c r="F21" s="16">
        <f t="shared" si="3"/>
        <v>482</v>
      </c>
      <c r="G21" s="16">
        <f t="shared" si="3"/>
        <v>482</v>
      </c>
      <c r="H21" s="16">
        <f t="shared" si="3"/>
        <v>482</v>
      </c>
      <c r="I21" s="16">
        <f t="shared" si="3"/>
        <v>482</v>
      </c>
      <c r="J21" s="16">
        <f t="shared" si="3"/>
        <v>482</v>
      </c>
      <c r="K21" s="16">
        <f t="shared" si="3"/>
        <v>482</v>
      </c>
      <c r="L21" s="15">
        <f t="shared" si="3"/>
        <v>482</v>
      </c>
      <c r="M21" s="15">
        <f t="shared" si="3"/>
        <v>482</v>
      </c>
      <c r="N21" s="15">
        <f t="shared" si="3"/>
        <v>482</v>
      </c>
      <c r="O21" s="15">
        <f t="shared" si="3"/>
        <v>482</v>
      </c>
      <c r="P21" s="15">
        <f t="shared" si="3"/>
        <v>482</v>
      </c>
    </row>
    <row r="22" spans="1:16" ht="14.1" customHeight="1" x14ac:dyDescent="0.3">
      <c r="A22" s="17" t="s">
        <v>1913</v>
      </c>
      <c r="B22" s="16">
        <f t="shared" ref="B22:P22" si="4">ROUND(B16*0.1215*12,2)</f>
        <v>721.02</v>
      </c>
      <c r="C22" s="16">
        <f t="shared" si="4"/>
        <v>730.43</v>
      </c>
      <c r="D22" s="16">
        <f t="shared" si="4"/>
        <v>730.43</v>
      </c>
      <c r="E22" s="16">
        <f t="shared" si="4"/>
        <v>730.43</v>
      </c>
      <c r="F22" s="16">
        <f t="shared" si="4"/>
        <v>730.43</v>
      </c>
      <c r="G22" s="16">
        <f t="shared" si="4"/>
        <v>814.35</v>
      </c>
      <c r="H22" s="16">
        <f t="shared" si="4"/>
        <v>814.35</v>
      </c>
      <c r="I22" s="16">
        <f t="shared" si="4"/>
        <v>814.35</v>
      </c>
      <c r="J22" s="16">
        <f t="shared" si="4"/>
        <v>814.35</v>
      </c>
      <c r="K22" s="16">
        <f t="shared" si="4"/>
        <v>817.85</v>
      </c>
      <c r="L22" s="15">
        <f t="shared" si="4"/>
        <v>815.77</v>
      </c>
      <c r="M22" s="15">
        <f t="shared" si="4"/>
        <v>0</v>
      </c>
      <c r="N22" s="15">
        <f t="shared" si="4"/>
        <v>0</v>
      </c>
      <c r="O22" s="15">
        <f t="shared" si="4"/>
        <v>0</v>
      </c>
      <c r="P22" s="15">
        <f t="shared" si="4"/>
        <v>0</v>
      </c>
    </row>
    <row r="23" spans="1:16" ht="14.1" customHeight="1" x14ac:dyDescent="0.3">
      <c r="A23" s="17" t="s">
        <v>1914</v>
      </c>
      <c r="B23" s="16">
        <f t="shared" ref="B23:P23" si="5">ROUND(B16*0.083333*12,2)</f>
        <v>494.53</v>
      </c>
      <c r="C23" s="16">
        <f t="shared" si="5"/>
        <v>500.98</v>
      </c>
      <c r="D23" s="16">
        <f t="shared" si="5"/>
        <v>500.98</v>
      </c>
      <c r="E23" s="16">
        <f t="shared" si="5"/>
        <v>500.98</v>
      </c>
      <c r="F23" s="16">
        <f t="shared" si="5"/>
        <v>500.98</v>
      </c>
      <c r="G23" s="16">
        <f t="shared" si="5"/>
        <v>558.54</v>
      </c>
      <c r="H23" s="16">
        <f t="shared" si="5"/>
        <v>558.54</v>
      </c>
      <c r="I23" s="16">
        <f t="shared" si="5"/>
        <v>558.54</v>
      </c>
      <c r="J23" s="16">
        <f t="shared" si="5"/>
        <v>558.54</v>
      </c>
      <c r="K23" s="16">
        <f t="shared" si="5"/>
        <v>560.94000000000005</v>
      </c>
      <c r="L23" s="15">
        <f t="shared" si="5"/>
        <v>559.51</v>
      </c>
      <c r="M23" s="15">
        <f t="shared" si="5"/>
        <v>0</v>
      </c>
      <c r="N23" s="15">
        <f t="shared" si="5"/>
        <v>0</v>
      </c>
      <c r="O23" s="15">
        <f t="shared" si="5"/>
        <v>0</v>
      </c>
      <c r="P23" s="15">
        <f t="shared" si="5"/>
        <v>0</v>
      </c>
    </row>
    <row r="24" spans="1:16" ht="14.1" customHeight="1" x14ac:dyDescent="0.3">
      <c r="A24" s="17"/>
      <c r="B24" s="18"/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</row>
    <row r="25" spans="1:16" ht="14.1" customHeight="1" x14ac:dyDescent="0.3">
      <c r="A25" s="17" t="s">
        <v>1915</v>
      </c>
      <c r="B25" s="16">
        <f t="shared" ref="B25:P25" si="6">ROUND(SUM(B17:B24),2)</f>
        <v>8126.44</v>
      </c>
      <c r="C25" s="16">
        <f t="shared" si="6"/>
        <v>8226.15</v>
      </c>
      <c r="D25" s="16">
        <f t="shared" si="6"/>
        <v>8226.15</v>
      </c>
      <c r="E25" s="16">
        <f t="shared" si="6"/>
        <v>8226.15</v>
      </c>
      <c r="F25" s="16">
        <f t="shared" si="6"/>
        <v>8226.15</v>
      </c>
      <c r="G25" s="16">
        <f t="shared" si="6"/>
        <v>9115.91</v>
      </c>
      <c r="H25" s="16">
        <f t="shared" si="6"/>
        <v>9115.91</v>
      </c>
      <c r="I25" s="16">
        <f t="shared" si="6"/>
        <v>9115.91</v>
      </c>
      <c r="J25" s="16">
        <f t="shared" si="6"/>
        <v>9115.91</v>
      </c>
      <c r="K25" s="16">
        <f t="shared" si="6"/>
        <v>9153.01</v>
      </c>
      <c r="L25" s="15">
        <f t="shared" si="6"/>
        <v>9130.91</v>
      </c>
      <c r="M25" s="15">
        <f t="shared" si="6"/>
        <v>482</v>
      </c>
      <c r="N25" s="15">
        <f t="shared" si="6"/>
        <v>482</v>
      </c>
      <c r="O25" s="15">
        <f t="shared" si="6"/>
        <v>482</v>
      </c>
      <c r="P25" s="15">
        <f t="shared" si="6"/>
        <v>482</v>
      </c>
    </row>
    <row r="26" spans="1:16" ht="14.1" customHeight="1" x14ac:dyDescent="0.3">
      <c r="A26" s="17" t="s">
        <v>1916</v>
      </c>
      <c r="B26" s="16">
        <f>ROUND(B25/12,3)</f>
        <v>677.20299999999997</v>
      </c>
      <c r="C26" s="16">
        <f t="shared" ref="C26:P26" si="7">ROUND(C25/12,2)</f>
        <v>685.51</v>
      </c>
      <c r="D26" s="16">
        <f t="shared" si="7"/>
        <v>685.51</v>
      </c>
      <c r="E26" s="16">
        <f t="shared" si="7"/>
        <v>685.51</v>
      </c>
      <c r="F26" s="16">
        <f t="shared" si="7"/>
        <v>685.51</v>
      </c>
      <c r="G26" s="16">
        <f t="shared" si="7"/>
        <v>759.66</v>
      </c>
      <c r="H26" s="16">
        <f t="shared" si="7"/>
        <v>759.66</v>
      </c>
      <c r="I26" s="16">
        <f t="shared" si="7"/>
        <v>759.66</v>
      </c>
      <c r="J26" s="16">
        <f t="shared" si="7"/>
        <v>759.66</v>
      </c>
      <c r="K26" s="16">
        <f t="shared" si="7"/>
        <v>762.75</v>
      </c>
      <c r="L26" s="15">
        <f t="shared" si="7"/>
        <v>760.91</v>
      </c>
      <c r="M26" s="15">
        <f t="shared" si="7"/>
        <v>40.17</v>
      </c>
      <c r="N26" s="15">
        <f t="shared" si="7"/>
        <v>40.17</v>
      </c>
      <c r="O26" s="15">
        <f t="shared" si="7"/>
        <v>40.17</v>
      </c>
      <c r="P26" s="15">
        <f t="shared" si="7"/>
        <v>40.17</v>
      </c>
    </row>
    <row r="27" spans="1:16" ht="14.1" customHeight="1" x14ac:dyDescent="0.3">
      <c r="A27" s="17" t="s">
        <v>1917</v>
      </c>
      <c r="B27" s="16">
        <f t="shared" ref="B27:P27" si="8">IFERROR(ROUND(ROUND((B25/B17),2)*$K$2,3),0)</f>
        <v>2</v>
      </c>
      <c r="C27" s="16">
        <f t="shared" si="8"/>
        <v>2</v>
      </c>
      <c r="D27" s="16">
        <f t="shared" si="8"/>
        <v>2</v>
      </c>
      <c r="E27" s="16">
        <f t="shared" si="8"/>
        <v>2</v>
      </c>
      <c r="F27" s="16">
        <f t="shared" si="8"/>
        <v>2</v>
      </c>
      <c r="G27" s="16">
        <f t="shared" si="8"/>
        <v>1.986</v>
      </c>
      <c r="H27" s="16">
        <f t="shared" si="8"/>
        <v>1.986</v>
      </c>
      <c r="I27" s="16">
        <f t="shared" si="8"/>
        <v>1.986</v>
      </c>
      <c r="J27" s="16">
        <f t="shared" si="8"/>
        <v>1.986</v>
      </c>
      <c r="K27" s="16">
        <f t="shared" si="8"/>
        <v>1.986</v>
      </c>
      <c r="L27" s="15">
        <f t="shared" si="8"/>
        <v>1.986</v>
      </c>
      <c r="M27" s="15">
        <f t="shared" si="8"/>
        <v>0</v>
      </c>
      <c r="N27" s="15">
        <f t="shared" si="8"/>
        <v>0</v>
      </c>
      <c r="O27" s="15">
        <f t="shared" si="8"/>
        <v>0</v>
      </c>
      <c r="P27" s="15">
        <f t="shared" si="8"/>
        <v>0</v>
      </c>
    </row>
    <row r="28" spans="1:16" ht="14.1" customHeight="1" x14ac:dyDescent="0.3">
      <c r="A28" s="17" t="s">
        <v>1918</v>
      </c>
      <c r="B28" s="16">
        <f>ROUND(B16*B27,3)</f>
        <v>989.06</v>
      </c>
      <c r="C28" s="16">
        <f t="shared" ref="C28:P28" si="9">ROUND(C16*C27,2)</f>
        <v>1001.96</v>
      </c>
      <c r="D28" s="16">
        <f t="shared" si="9"/>
        <v>1001.96</v>
      </c>
      <c r="E28" s="16">
        <f t="shared" si="9"/>
        <v>1001.96</v>
      </c>
      <c r="F28" s="16">
        <f t="shared" si="9"/>
        <v>1001.96</v>
      </c>
      <c r="G28" s="16">
        <f t="shared" si="9"/>
        <v>1109.26</v>
      </c>
      <c r="H28" s="16">
        <f t="shared" si="9"/>
        <v>1109.26</v>
      </c>
      <c r="I28" s="16">
        <f t="shared" si="9"/>
        <v>1109.26</v>
      </c>
      <c r="J28" s="16">
        <f t="shared" si="9"/>
        <v>1109.26</v>
      </c>
      <c r="K28" s="16">
        <f t="shared" si="9"/>
        <v>1114.03</v>
      </c>
      <c r="L28" s="15">
        <f t="shared" si="9"/>
        <v>1111.19</v>
      </c>
      <c r="M28" s="15">
        <f t="shared" si="9"/>
        <v>0</v>
      </c>
      <c r="N28" s="15">
        <f t="shared" si="9"/>
        <v>0</v>
      </c>
      <c r="O28" s="15">
        <f t="shared" si="9"/>
        <v>0</v>
      </c>
      <c r="P28" s="15">
        <f t="shared" si="9"/>
        <v>0</v>
      </c>
    </row>
    <row r="29" spans="1:16" ht="14.1" customHeight="1" x14ac:dyDescent="0.3">
      <c r="A29" s="14" t="s">
        <v>1919</v>
      </c>
      <c r="B29" s="13">
        <f t="shared" ref="B29:P29" si="10">IFERROR(ROUND((B26/(30*$B$2))*$K$2,2),0)</f>
        <v>4.12</v>
      </c>
      <c r="C29" s="12">
        <f t="shared" si="10"/>
        <v>4.17</v>
      </c>
      <c r="D29" s="12">
        <f t="shared" si="10"/>
        <v>4.17</v>
      </c>
      <c r="E29" s="12">
        <f t="shared" si="10"/>
        <v>4.17</v>
      </c>
      <c r="F29" s="12">
        <f t="shared" si="10"/>
        <v>4.17</v>
      </c>
      <c r="G29" s="12">
        <f t="shared" si="10"/>
        <v>4.62</v>
      </c>
      <c r="H29" s="12">
        <f t="shared" si="10"/>
        <v>4.62</v>
      </c>
      <c r="I29" s="12">
        <f t="shared" si="10"/>
        <v>4.62</v>
      </c>
      <c r="J29" s="12">
        <f t="shared" si="10"/>
        <v>4.62</v>
      </c>
      <c r="K29" s="12">
        <f t="shared" si="10"/>
        <v>4.6399999999999997</v>
      </c>
      <c r="L29" s="11">
        <f t="shared" si="10"/>
        <v>4.63</v>
      </c>
      <c r="M29" s="11">
        <f t="shared" si="10"/>
        <v>0.24</v>
      </c>
      <c r="N29" s="11">
        <f t="shared" si="10"/>
        <v>0.24</v>
      </c>
      <c r="O29" s="11">
        <f t="shared" si="10"/>
        <v>0.24</v>
      </c>
      <c r="P29" s="11">
        <f t="shared" si="10"/>
        <v>0.24</v>
      </c>
    </row>
    <row r="30" spans="1:16" ht="21" customHeight="1" thickBot="1" x14ac:dyDescent="0.35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8"/>
      <c r="M30" s="8"/>
      <c r="N30" s="8"/>
      <c r="O30" s="8"/>
      <c r="P30" s="8"/>
    </row>
    <row r="31" spans="1:16" ht="14.1" customHeight="1" x14ac:dyDescent="0.3">
      <c r="M31" s="7"/>
    </row>
    <row r="32" spans="1:16" ht="14.1" customHeight="1" x14ac:dyDescent="0.3">
      <c r="B32" s="4"/>
      <c r="M32" s="5"/>
    </row>
    <row r="33" spans="2:13" ht="14.1" customHeight="1" x14ac:dyDescent="0.3">
      <c r="B33" s="4"/>
      <c r="M33" s="5"/>
    </row>
    <row r="34" spans="2:13" ht="14.1" customHeight="1" x14ac:dyDescent="0.3">
      <c r="B34" s="4"/>
      <c r="M34" s="5"/>
    </row>
    <row r="35" spans="2:13" ht="14.1" customHeight="1" x14ac:dyDescent="0.3">
      <c r="B35" s="4"/>
      <c r="M35" s="5"/>
    </row>
    <row r="36" spans="2:13" ht="14.1" customHeight="1" x14ac:dyDescent="0.3">
      <c r="B36" s="4"/>
      <c r="J36" s="6"/>
      <c r="M36" s="5"/>
    </row>
    <row r="37" spans="2:13" ht="14.1" customHeight="1" x14ac:dyDescent="0.3">
      <c r="B37" s="4"/>
      <c r="J37" s="6"/>
      <c r="K37" s="6"/>
      <c r="L37" s="6"/>
      <c r="M37" s="7"/>
    </row>
    <row r="38" spans="2:13" ht="14.1" customHeight="1" x14ac:dyDescent="0.3">
      <c r="B38" s="4"/>
    </row>
    <row r="39" spans="2:13" ht="14.1" customHeight="1" x14ac:dyDescent="0.3">
      <c r="B39" s="4"/>
      <c r="L39" s="7"/>
    </row>
    <row r="40" spans="2:13" ht="14.1" customHeight="1" x14ac:dyDescent="0.3">
      <c r="B40" s="4"/>
    </row>
    <row r="41" spans="2:13" ht="14.1" customHeight="1" x14ac:dyDescent="0.3">
      <c r="B41" s="6"/>
    </row>
    <row r="42" spans="2:13" ht="14.1" customHeight="1" x14ac:dyDescent="0.3">
      <c r="D42" s="6"/>
      <c r="I42" s="6"/>
    </row>
  </sheetData>
  <mergeCells count="2">
    <mergeCell ref="A6:L6"/>
    <mergeCell ref="A7:A1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BD_Recursos</vt:lpstr>
      <vt:lpstr>Hoja1</vt:lpstr>
      <vt:lpstr>Hoja2</vt:lpstr>
      <vt:lpstr>Aux_MO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Santander González</dc:creator>
  <cp:lastModifiedBy>Luis Santander Gonzalez</cp:lastModifiedBy>
  <cp:lastPrinted>2026-04-30T07:43:52Z</cp:lastPrinted>
  <dcterms:created xsi:type="dcterms:W3CDTF">2026-03-30T16:56:29Z</dcterms:created>
  <dcterms:modified xsi:type="dcterms:W3CDTF">2026-06-05T20:46:29Z</dcterms:modified>
</cp:coreProperties>
</file>